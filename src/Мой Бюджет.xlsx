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ladimir\Downloads\template\obsidian_template\src\"/>
    </mc:Choice>
  </mc:AlternateContent>
  <xr:revisionPtr revIDLastSave="0" documentId="13_ncr:1_{304125AB-3073-45DB-ABD5-28DF809580A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" i="1" l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P5" i="1"/>
  <c r="Q5" i="1"/>
  <c r="R5" i="1"/>
  <c r="P6" i="1"/>
  <c r="Q6" i="1"/>
  <c r="R6" i="1"/>
  <c r="P7" i="1"/>
  <c r="Q7" i="1"/>
  <c r="R7" i="1"/>
  <c r="P8" i="1"/>
  <c r="Q8" i="1"/>
  <c r="R8" i="1"/>
  <c r="P9" i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Q9" i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Q4" i="1"/>
  <c r="P4" i="1"/>
  <c r="O4" i="1"/>
  <c r="N4" i="1"/>
  <c r="N5" i="1" s="1"/>
  <c r="N6" i="1" s="1"/>
  <c r="R4" i="1"/>
  <c r="N7" i="1" l="1"/>
  <c r="N8" i="1" l="1"/>
  <c r="N9" i="1" l="1"/>
  <c r="N10" i="1" l="1"/>
  <c r="N11" i="1" l="1"/>
  <c r="N12" i="1" l="1"/>
  <c r="N13" i="1" l="1"/>
  <c r="N14" i="1" l="1"/>
  <c r="N15" i="1" l="1"/>
  <c r="N16" i="1" l="1"/>
  <c r="N17" i="1" l="1"/>
  <c r="N18" i="1" l="1"/>
  <c r="N19" i="1" l="1"/>
  <c r="N20" i="1" l="1"/>
  <c r="N21" i="1" l="1"/>
  <c r="N22" i="1" l="1"/>
  <c r="N23" i="1" l="1"/>
  <c r="N24" i="1" l="1"/>
  <c r="N25" i="1" l="1"/>
  <c r="N26" i="1" l="1"/>
  <c r="N27" i="1" l="1"/>
  <c r="N28" i="1" l="1"/>
  <c r="N29" i="1" l="1"/>
  <c r="N30" i="1" l="1"/>
  <c r="N31" i="1" l="1"/>
  <c r="N32" i="1" l="1"/>
  <c r="N33" i="1" l="1"/>
  <c r="N34" i="1" l="1"/>
  <c r="N35" i="1" l="1"/>
  <c r="N36" i="1" l="1"/>
  <c r="N37" i="1" l="1"/>
  <c r="N38" i="1" l="1"/>
  <c r="N39" i="1" l="1"/>
  <c r="N40" i="1" l="1"/>
  <c r="N41" i="1" l="1"/>
  <c r="N42" i="1" l="1"/>
  <c r="N43" i="1" l="1"/>
  <c r="N44" i="1" l="1"/>
  <c r="N45" i="1" l="1"/>
  <c r="N46" i="1" l="1"/>
  <c r="N47" i="1" l="1"/>
  <c r="N48" i="1" l="1"/>
  <c r="N49" i="1" l="1"/>
  <c r="N50" i="1" l="1"/>
  <c r="N51" i="1" l="1"/>
  <c r="N52" i="1" l="1"/>
  <c r="N53" i="1" l="1"/>
  <c r="N54" i="1" l="1"/>
  <c r="N55" i="1" l="1"/>
  <c r="N56" i="1" l="1"/>
  <c r="N57" i="1" l="1"/>
  <c r="N58" i="1" l="1"/>
  <c r="N59" i="1" l="1"/>
  <c r="N60" i="1" l="1"/>
  <c r="N61" i="1" l="1"/>
  <c r="N62" i="1" l="1"/>
  <c r="N63" i="1" l="1"/>
  <c r="N64" i="1" l="1"/>
  <c r="N65" i="1" l="1"/>
  <c r="N66" i="1" l="1"/>
  <c r="N67" i="1" l="1"/>
  <c r="N68" i="1" l="1"/>
  <c r="N69" i="1" l="1"/>
  <c r="N70" i="1" l="1"/>
  <c r="N71" i="1" l="1"/>
  <c r="N72" i="1" l="1"/>
  <c r="N73" i="1" l="1"/>
  <c r="N74" i="1" l="1"/>
  <c r="N75" i="1" l="1"/>
  <c r="M74" i="1"/>
  <c r="M69" i="1"/>
  <c r="M67" i="1"/>
  <c r="M68" i="1"/>
  <c r="M70" i="1"/>
  <c r="M73" i="1"/>
  <c r="M72" i="1"/>
  <c r="M75" i="1" l="1"/>
  <c r="M6" i="1"/>
  <c r="M7" i="1"/>
  <c r="M5" i="1"/>
  <c r="M8" i="1"/>
  <c r="M4" i="1"/>
  <c r="M9" i="1"/>
  <c r="M11" i="1"/>
  <c r="M10" i="1"/>
  <c r="M12" i="1"/>
  <c r="M14" i="1"/>
  <c r="M13" i="1"/>
  <c r="M16" i="1"/>
  <c r="M15" i="1"/>
  <c r="M19" i="1"/>
  <c r="M17" i="1"/>
  <c r="M18" i="1"/>
  <c r="M22" i="1"/>
  <c r="M20" i="1"/>
  <c r="M24" i="1"/>
  <c r="M21" i="1"/>
  <c r="M26" i="1"/>
  <c r="M23" i="1"/>
  <c r="M27" i="1"/>
  <c r="M25" i="1"/>
  <c r="M28" i="1"/>
  <c r="M29" i="1"/>
  <c r="M31" i="1"/>
  <c r="M30" i="1"/>
  <c r="M34" i="1"/>
  <c r="M33" i="1"/>
  <c r="M32" i="1"/>
  <c r="M35" i="1"/>
  <c r="M36" i="1"/>
  <c r="M37" i="1"/>
  <c r="M38" i="1"/>
  <c r="M39" i="1"/>
  <c r="M40" i="1"/>
  <c r="M42" i="1"/>
  <c r="M44" i="1"/>
  <c r="M43" i="1"/>
  <c r="M41" i="1"/>
  <c r="M45" i="1"/>
  <c r="M46" i="1"/>
  <c r="M47" i="1"/>
  <c r="M51" i="1"/>
  <c r="M50" i="1"/>
  <c r="M49" i="1"/>
  <c r="M48" i="1"/>
  <c r="M52" i="1"/>
  <c r="M54" i="1"/>
  <c r="M57" i="1"/>
  <c r="M56" i="1"/>
  <c r="M53" i="1"/>
  <c r="M55" i="1"/>
  <c r="M58" i="1"/>
  <c r="M60" i="1"/>
  <c r="M61" i="1"/>
  <c r="M62" i="1"/>
  <c r="M59" i="1"/>
  <c r="M63" i="1"/>
  <c r="M64" i="1"/>
  <c r="M65" i="1"/>
  <c r="M66" i="1"/>
  <c r="M71" i="1"/>
</calcChain>
</file>

<file path=xl/sharedStrings.xml><?xml version="1.0" encoding="utf-8"?>
<sst xmlns="http://schemas.openxmlformats.org/spreadsheetml/2006/main" count="25" uniqueCount="21">
  <si>
    <t>Дата</t>
  </si>
  <si>
    <t>Транспорт</t>
  </si>
  <si>
    <t>Продукты</t>
  </si>
  <si>
    <t>Общага</t>
  </si>
  <si>
    <t>Связь</t>
  </si>
  <si>
    <t>Развлечения</t>
  </si>
  <si>
    <t>Прочее</t>
  </si>
  <si>
    <t>Остаток</t>
  </si>
  <si>
    <t>Накопления</t>
  </si>
  <si>
    <t>Цель1</t>
  </si>
  <si>
    <t>Цель0</t>
  </si>
  <si>
    <t>Доходы</t>
  </si>
  <si>
    <t>ЗП</t>
  </si>
  <si>
    <t>Расходы</t>
  </si>
  <si>
    <t>Текущий</t>
  </si>
  <si>
    <t>Свободный баланс</t>
  </si>
  <si>
    <t>В целом кол-во свободных денег</t>
  </si>
  <si>
    <t>Баланс Накоплений</t>
  </si>
  <si>
    <t>Есть ли минус по целям</t>
  </si>
  <si>
    <t>INIT</t>
  </si>
  <si>
    <t>Вводить данные только ниже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</si>
</sst>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d&quot;, &quot;yyyy"/>
  </numFmts>
  <fonts count="6" x14ac:knownFonts="1">
    <font>
      <sz val="12"/>
      <color rgb="FF000000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</font>
    <font>
      <sz val="10"/>
      <name val="Arial"/>
    </font>
    <font>
      <sz val="12"/>
      <name val="Calibri"/>
    </font>
    <font>
      <sz val="11"/>
      <color theme="0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rgb="FFBFBFBF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0" fontId="5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37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/>
    <xf numFmtId="0" fontId="1" fillId="8" borderId="6" xfId="2" applyBorder="1" applyAlignment="1">
      <alignment horizontal="center" vertical="center"/>
    </xf>
    <xf numFmtId="4" fontId="1" fillId="8" borderId="6" xfId="2" applyNumberFormat="1" applyBorder="1" applyAlignment="1">
      <alignment horizontal="center" vertical="center"/>
    </xf>
    <xf numFmtId="3" fontId="1" fillId="8" borderId="6" xfId="2" applyNumberFormat="1" applyBorder="1" applyAlignment="1">
      <alignment vertical="center"/>
    </xf>
    <xf numFmtId="4" fontId="1" fillId="9" borderId="7" xfId="3" applyNumberFormat="1" applyBorder="1" applyAlignment="1">
      <alignment horizontal="center" vertical="center"/>
    </xf>
    <xf numFmtId="4" fontId="1" fillId="9" borderId="2" xfId="3" applyNumberFormat="1" applyBorder="1" applyAlignment="1">
      <alignment horizontal="center" vertical="center"/>
    </xf>
    <xf numFmtId="3" fontId="1" fillId="9" borderId="5" xfId="3" applyNumberFormat="1" applyBorder="1"/>
    <xf numFmtId="3" fontId="1" fillId="9" borderId="3" xfId="3" applyNumberFormat="1" applyBorder="1"/>
    <xf numFmtId="0" fontId="1" fillId="9" borderId="1" xfId="3" applyBorder="1"/>
    <xf numFmtId="4" fontId="5" fillId="7" borderId="6" xfId="1" applyNumberFormat="1" applyBorder="1" applyAlignment="1">
      <alignment vertical="center"/>
    </xf>
    <xf numFmtId="2" fontId="5" fillId="7" borderId="4" xfId="1" applyNumberFormat="1" applyBorder="1"/>
    <xf numFmtId="2" fontId="5" fillId="7" borderId="1" xfId="1" applyNumberFormat="1" applyBorder="1"/>
    <xf numFmtId="0" fontId="1" fillId="9" borderId="0" xfId="3" applyBorder="1" applyAlignment="1">
      <alignment horizontal="center"/>
    </xf>
    <xf numFmtId="49" fontId="2" fillId="2" borderId="6" xfId="0" applyNumberFormat="1" applyFont="1" applyFill="1" applyBorder="1" applyAlignment="1">
      <alignment horizontal="center" vertical="center"/>
    </xf>
    <xf numFmtId="0" fontId="0" fillId="10" borderId="6" xfId="0" applyFont="1" applyFill="1" applyBorder="1" applyAlignment="1">
      <alignment horizontal="center"/>
    </xf>
    <xf numFmtId="0" fontId="0" fillId="11" borderId="6" xfId="0" applyFont="1" applyFill="1" applyBorder="1" applyAlignment="1">
      <alignment horizontal="center"/>
    </xf>
    <xf numFmtId="0" fontId="0" fillId="12" borderId="6" xfId="0" applyFont="1" applyFill="1" applyBorder="1" applyAlignment="1">
      <alignment horizontal="center"/>
    </xf>
    <xf numFmtId="0" fontId="1" fillId="9" borderId="6" xfId="3" applyBorder="1" applyAlignment="1">
      <alignment horizontal="center"/>
    </xf>
    <xf numFmtId="4" fontId="2" fillId="3" borderId="6" xfId="0" applyNumberFormat="1" applyFont="1" applyFill="1" applyBorder="1" applyAlignment="1">
      <alignment horizontal="center" vertical="center"/>
    </xf>
    <xf numFmtId="4" fontId="2" fillId="4" borderId="6" xfId="0" applyNumberFormat="1" applyFont="1" applyFill="1" applyBorder="1" applyAlignment="1">
      <alignment horizontal="center" vertical="center" wrapText="1"/>
    </xf>
    <xf numFmtId="4" fontId="2" fillId="4" borderId="6" xfId="0" applyNumberFormat="1" applyFont="1" applyFill="1" applyBorder="1" applyAlignment="1">
      <alignment horizontal="center" vertical="center"/>
    </xf>
    <xf numFmtId="4" fontId="2" fillId="5" borderId="6" xfId="0" applyNumberFormat="1" applyFont="1" applyFill="1" applyBorder="1" applyAlignment="1">
      <alignment horizontal="center" vertical="center"/>
    </xf>
    <xf numFmtId="4" fontId="1" fillId="9" borderId="6" xfId="3" applyNumberFormat="1" applyBorder="1" applyAlignment="1">
      <alignment horizontal="center" vertical="center"/>
    </xf>
    <xf numFmtId="164" fontId="5" fillId="7" borderId="6" xfId="1" applyNumberFormat="1" applyBorder="1"/>
    <xf numFmtId="4" fontId="5" fillId="7" borderId="6" xfId="1" applyNumberFormat="1" applyBorder="1" applyAlignment="1">
      <alignment horizontal="center"/>
    </xf>
    <xf numFmtId="2" fontId="5" fillId="7" borderId="6" xfId="1" applyNumberFormat="1" applyBorder="1"/>
    <xf numFmtId="164" fontId="3" fillId="6" borderId="6" xfId="0" applyNumberFormat="1" applyFont="1" applyFill="1" applyBorder="1"/>
    <xf numFmtId="3" fontId="3" fillId="3" borderId="6" xfId="0" applyNumberFormat="1" applyFont="1" applyFill="1" applyBorder="1"/>
    <xf numFmtId="3" fontId="3" fillId="4" borderId="6" xfId="0" applyNumberFormat="1" applyFont="1" applyFill="1" applyBorder="1"/>
    <xf numFmtId="3" fontId="3" fillId="5" borderId="6" xfId="0" applyNumberFormat="1" applyFont="1" applyFill="1" applyBorder="1"/>
    <xf numFmtId="3" fontId="1" fillId="9" borderId="6" xfId="3" applyNumberFormat="1" applyBorder="1"/>
    <xf numFmtId="4" fontId="3" fillId="3" borderId="6" xfId="0" applyNumberFormat="1" applyFont="1" applyFill="1" applyBorder="1"/>
    <xf numFmtId="4" fontId="3" fillId="4" borderId="6" xfId="0" applyNumberFormat="1" applyFont="1" applyFill="1" applyBorder="1"/>
    <xf numFmtId="4" fontId="3" fillId="5" borderId="6" xfId="0" applyNumberFormat="1" applyFont="1" applyFill="1" applyBorder="1"/>
    <xf numFmtId="0" fontId="4" fillId="5" borderId="6" xfId="0" applyFont="1" applyFill="1" applyBorder="1"/>
  </cellXfs>
  <cellStyles count="4">
    <cellStyle name="20% — акцент3" xfId="2" builtinId="38"/>
    <cellStyle name="60% — акцент5" xfId="3" builtinId="48"/>
    <cellStyle name="Акцент3" xfId="1" builtinId="37"/>
    <cellStyle name="Обычный" xfId="0" builtinId="0"/>
  </cellStyles>
  <dxfs count="7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I10" sqref="I10"/>
    </sheetView>
  </sheetViews>
  <sheetFormatPr defaultColWidth="12.59765625" defaultRowHeight="15" customHeight="1" x14ac:dyDescent="0.3"/>
  <cols>
    <col min="1" max="1" width="26.69921875" customWidth="1"/>
    <col min="2" max="3" width="18.19921875" customWidth="1"/>
    <col min="4" max="5" width="6.5" customWidth="1"/>
    <col min="6" max="6" width="7.5" customWidth="1"/>
    <col min="7" max="7" width="6.5" customWidth="1"/>
    <col min="8" max="8" width="10.3984375" customWidth="1"/>
    <col min="9" max="9" width="8.59765625" customWidth="1"/>
    <col min="10" max="12" width="6.5" customWidth="1"/>
    <col min="13" max="13" width="11" customWidth="1"/>
    <col min="14" max="14" width="11.296875" customWidth="1"/>
    <col min="15" max="16" width="9.8984375" customWidth="1"/>
    <col min="17" max="17" width="8.09765625" customWidth="1"/>
    <col min="18" max="18" width="6.19921875" customWidth="1"/>
    <col min="19" max="23" width="4.19921875" customWidth="1"/>
  </cols>
  <sheetData>
    <row r="1" spans="1:23" ht="15" customHeight="1" x14ac:dyDescent="0.3">
      <c r="A1" s="15" t="s">
        <v>0</v>
      </c>
      <c r="B1" s="16" t="s">
        <v>11</v>
      </c>
      <c r="C1" s="16"/>
      <c r="D1" s="17" t="s">
        <v>13</v>
      </c>
      <c r="E1" s="17"/>
      <c r="F1" s="17"/>
      <c r="G1" s="17"/>
      <c r="H1" s="17"/>
      <c r="I1" s="17"/>
      <c r="J1" s="18" t="s">
        <v>8</v>
      </c>
      <c r="K1" s="18"/>
      <c r="L1" s="18"/>
      <c r="M1" s="3" t="s">
        <v>15</v>
      </c>
      <c r="N1" s="3"/>
      <c r="O1" s="19" t="s">
        <v>17</v>
      </c>
      <c r="P1" s="14"/>
      <c r="Q1" s="14"/>
      <c r="R1" s="14"/>
    </row>
    <row r="2" spans="1:23" ht="16.5" customHeight="1" x14ac:dyDescent="0.3">
      <c r="A2" s="15"/>
      <c r="B2" s="20" t="s">
        <v>12</v>
      </c>
      <c r="C2" s="20" t="s">
        <v>6</v>
      </c>
      <c r="D2" s="21" t="s">
        <v>1</v>
      </c>
      <c r="E2" s="21" t="s">
        <v>2</v>
      </c>
      <c r="F2" s="22" t="s">
        <v>3</v>
      </c>
      <c r="G2" s="22" t="s">
        <v>4</v>
      </c>
      <c r="H2" s="21" t="s">
        <v>5</v>
      </c>
      <c r="I2" s="21" t="s">
        <v>6</v>
      </c>
      <c r="J2" s="23" t="s">
        <v>7</v>
      </c>
      <c r="K2" s="23" t="s">
        <v>10</v>
      </c>
      <c r="L2" s="23" t="s">
        <v>9</v>
      </c>
      <c r="M2" s="4" t="s">
        <v>16</v>
      </c>
      <c r="N2" s="4" t="s">
        <v>14</v>
      </c>
      <c r="O2" s="24" t="s">
        <v>8</v>
      </c>
      <c r="P2" s="6" t="s">
        <v>10</v>
      </c>
      <c r="Q2" s="7" t="s">
        <v>9</v>
      </c>
      <c r="R2" s="10" t="s">
        <v>18</v>
      </c>
      <c r="S2" s="1"/>
      <c r="T2" s="1"/>
      <c r="U2" s="1"/>
      <c r="V2" s="1"/>
      <c r="W2" s="1"/>
    </row>
    <row r="3" spans="1:23" ht="15.75" customHeight="1" x14ac:dyDescent="0.3">
      <c r="A3" s="25" t="s">
        <v>19</v>
      </c>
      <c r="B3" s="26" t="s">
        <v>20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11"/>
      <c r="N3" s="11"/>
      <c r="O3" s="27">
        <v>10000</v>
      </c>
      <c r="P3" s="12"/>
      <c r="Q3" s="13">
        <v>0</v>
      </c>
      <c r="R3" s="13"/>
      <c r="S3" s="2"/>
      <c r="T3" s="2"/>
      <c r="U3" s="2"/>
      <c r="V3" s="2"/>
      <c r="W3" s="2"/>
    </row>
    <row r="4" spans="1:23" ht="15.75" customHeight="1" x14ac:dyDescent="0.3">
      <c r="A4" s="28">
        <v>45714</v>
      </c>
      <c r="B4" s="29">
        <v>30000</v>
      </c>
      <c r="C4" s="29"/>
      <c r="D4" s="30">
        <v>1000</v>
      </c>
      <c r="E4" s="30">
        <v>10000</v>
      </c>
      <c r="F4" s="30">
        <v>1000</v>
      </c>
      <c r="G4" s="30">
        <v>1000</v>
      </c>
      <c r="H4" s="30">
        <v>0</v>
      </c>
      <c r="I4" s="30"/>
      <c r="J4" s="31">
        <v>2000</v>
      </c>
      <c r="K4" s="31"/>
      <c r="L4" s="31">
        <v>10000</v>
      </c>
      <c r="M4" s="32">
        <f>MIN(N4:N10489)</f>
        <v>17000</v>
      </c>
      <c r="N4" s="5">
        <f>N3+SUM(B4:C4)-SUMIF(D4:I4,"&gt;0")</f>
        <v>17000</v>
      </c>
      <c r="O4" s="32">
        <f>O3+J4</f>
        <v>12000</v>
      </c>
      <c r="P4" s="8">
        <f>P3+K4</f>
        <v>0</v>
      </c>
      <c r="Q4" s="9">
        <f>Q3+L4</f>
        <v>10000</v>
      </c>
      <c r="R4" s="8">
        <f>MIN(S4:S10489)</f>
        <v>0</v>
      </c>
      <c r="S4" s="2"/>
      <c r="T4" s="2"/>
      <c r="U4" s="2"/>
      <c r="V4" s="2"/>
      <c r="W4" s="2"/>
    </row>
    <row r="5" spans="1:23" ht="15.75" customHeight="1" x14ac:dyDescent="0.3">
      <c r="A5" s="28">
        <v>45715</v>
      </c>
      <c r="B5" s="29"/>
      <c r="C5" s="29"/>
      <c r="D5" s="30"/>
      <c r="E5" s="30"/>
      <c r="F5" s="30"/>
      <c r="G5" s="30"/>
      <c r="H5" s="30"/>
      <c r="I5" s="30"/>
      <c r="J5" s="31"/>
      <c r="K5" s="31"/>
      <c r="L5" s="31"/>
      <c r="M5" s="32">
        <f t="shared" ref="M5:M68" si="0">MIN(N5:N10490)</f>
        <v>17000</v>
      </c>
      <c r="N5" s="5">
        <f>N4+SUM(B5:C5)-SUMIF(D5:I5,"&gt;0")</f>
        <v>17000</v>
      </c>
      <c r="O5" s="32">
        <f t="shared" ref="O5:O68" si="1">O4+J5</f>
        <v>12000</v>
      </c>
      <c r="P5" s="8">
        <f t="shared" ref="P5:P68" si="2">P4+K5</f>
        <v>0</v>
      </c>
      <c r="Q5" s="9">
        <f t="shared" ref="Q5:Q68" si="3">Q4+L5</f>
        <v>10000</v>
      </c>
      <c r="R5" s="8">
        <f t="shared" ref="R5:R68" si="4">MIN(S5:S10490)</f>
        <v>0</v>
      </c>
      <c r="S5" s="2"/>
      <c r="T5" s="2"/>
      <c r="U5" s="2"/>
      <c r="V5" s="2"/>
      <c r="W5" s="2"/>
    </row>
    <row r="6" spans="1:23" ht="15.75" customHeight="1" x14ac:dyDescent="0.3">
      <c r="A6" s="28">
        <v>45716</v>
      </c>
      <c r="B6" s="33"/>
      <c r="C6" s="33"/>
      <c r="D6" s="34"/>
      <c r="E6" s="34"/>
      <c r="F6" s="34"/>
      <c r="G6" s="34"/>
      <c r="H6" s="34"/>
      <c r="I6" s="34"/>
      <c r="J6" s="35"/>
      <c r="K6" s="35"/>
      <c r="L6" s="36"/>
      <c r="M6" s="32">
        <f t="shared" si="0"/>
        <v>17000</v>
      </c>
      <c r="N6" s="5">
        <f t="shared" ref="N6:N69" si="5">N5+SUM(B6:C6)-SUMIF(D6:I6,"&gt;0")</f>
        <v>17000</v>
      </c>
      <c r="O6" s="32">
        <f t="shared" si="1"/>
        <v>12000</v>
      </c>
      <c r="P6" s="8">
        <f t="shared" si="2"/>
        <v>0</v>
      </c>
      <c r="Q6" s="9">
        <f t="shared" si="3"/>
        <v>10000</v>
      </c>
      <c r="R6" s="8">
        <f t="shared" si="4"/>
        <v>0</v>
      </c>
      <c r="S6" s="2"/>
      <c r="T6" s="2"/>
      <c r="U6" s="2"/>
      <c r="V6" s="2"/>
      <c r="W6" s="2"/>
    </row>
    <row r="7" spans="1:23" ht="15.75" customHeight="1" x14ac:dyDescent="0.3">
      <c r="A7" s="28">
        <v>45717</v>
      </c>
      <c r="B7" s="33"/>
      <c r="C7" s="33"/>
      <c r="D7" s="34"/>
      <c r="E7" s="34"/>
      <c r="F7" s="34"/>
      <c r="G7" s="34"/>
      <c r="H7" s="34"/>
      <c r="I7" s="34"/>
      <c r="J7" s="35"/>
      <c r="K7" s="35"/>
      <c r="L7" s="36"/>
      <c r="M7" s="32">
        <f t="shared" si="0"/>
        <v>17000</v>
      </c>
      <c r="N7" s="5">
        <f t="shared" si="5"/>
        <v>17000</v>
      </c>
      <c r="O7" s="32">
        <f t="shared" si="1"/>
        <v>12000</v>
      </c>
      <c r="P7" s="8">
        <f t="shared" si="2"/>
        <v>0</v>
      </c>
      <c r="Q7" s="9">
        <f t="shared" si="3"/>
        <v>10000</v>
      </c>
      <c r="R7" s="8">
        <f t="shared" si="4"/>
        <v>0</v>
      </c>
      <c r="S7" s="2"/>
      <c r="T7" s="2"/>
      <c r="U7" s="2"/>
      <c r="V7" s="2"/>
      <c r="W7" s="2"/>
    </row>
    <row r="8" spans="1:23" ht="15.75" customHeight="1" x14ac:dyDescent="0.3">
      <c r="A8" s="28">
        <v>45718</v>
      </c>
      <c r="B8" s="33"/>
      <c r="C8" s="33"/>
      <c r="D8" s="34"/>
      <c r="E8" s="34"/>
      <c r="F8" s="34"/>
      <c r="G8" s="34"/>
      <c r="H8" s="34"/>
      <c r="I8" s="34"/>
      <c r="J8" s="35"/>
      <c r="K8" s="35"/>
      <c r="L8" s="36"/>
      <c r="M8" s="32">
        <f t="shared" si="0"/>
        <v>17000</v>
      </c>
      <c r="N8" s="5">
        <f t="shared" si="5"/>
        <v>17000</v>
      </c>
      <c r="O8" s="32">
        <f t="shared" si="1"/>
        <v>12000</v>
      </c>
      <c r="P8" s="8">
        <f t="shared" si="2"/>
        <v>0</v>
      </c>
      <c r="Q8" s="9">
        <f t="shared" si="3"/>
        <v>10000</v>
      </c>
      <c r="R8" s="8">
        <f t="shared" si="4"/>
        <v>0</v>
      </c>
      <c r="S8" s="2"/>
      <c r="T8" s="2"/>
      <c r="U8" s="2"/>
      <c r="V8" s="2"/>
      <c r="W8" s="2"/>
    </row>
    <row r="9" spans="1:23" ht="15.75" customHeight="1" x14ac:dyDescent="0.3">
      <c r="A9" s="28">
        <v>45719</v>
      </c>
      <c r="B9" s="33"/>
      <c r="C9" s="33"/>
      <c r="D9" s="34"/>
      <c r="E9" s="34"/>
      <c r="F9" s="34"/>
      <c r="G9" s="34"/>
      <c r="H9" s="34"/>
      <c r="I9" s="34"/>
      <c r="J9" s="35"/>
      <c r="K9" s="35"/>
      <c r="L9" s="36"/>
      <c r="M9" s="32">
        <f t="shared" si="0"/>
        <v>17000</v>
      </c>
      <c r="N9" s="5">
        <f t="shared" si="5"/>
        <v>17000</v>
      </c>
      <c r="O9" s="32">
        <f t="shared" si="1"/>
        <v>12000</v>
      </c>
      <c r="P9" s="8">
        <f t="shared" si="2"/>
        <v>0</v>
      </c>
      <c r="Q9" s="9">
        <f t="shared" si="3"/>
        <v>10000</v>
      </c>
      <c r="R9" s="8">
        <f t="shared" si="4"/>
        <v>0</v>
      </c>
      <c r="S9" s="2"/>
      <c r="T9" s="2"/>
      <c r="U9" s="2"/>
      <c r="V9" s="2"/>
      <c r="W9" s="2"/>
    </row>
    <row r="10" spans="1:23" ht="15.75" customHeight="1" x14ac:dyDescent="0.3">
      <c r="A10" s="28">
        <v>45720</v>
      </c>
      <c r="B10" s="33"/>
      <c r="C10" s="33"/>
      <c r="D10" s="34"/>
      <c r="E10" s="34"/>
      <c r="F10" s="34"/>
      <c r="G10" s="34"/>
      <c r="H10" s="34"/>
      <c r="I10" s="34"/>
      <c r="J10" s="35"/>
      <c r="K10" s="35"/>
      <c r="L10" s="36"/>
      <c r="M10" s="32">
        <f t="shared" si="0"/>
        <v>17000</v>
      </c>
      <c r="N10" s="5">
        <f t="shared" si="5"/>
        <v>17000</v>
      </c>
      <c r="O10" s="32">
        <f t="shared" si="1"/>
        <v>12000</v>
      </c>
      <c r="P10" s="8">
        <f t="shared" si="2"/>
        <v>0</v>
      </c>
      <c r="Q10" s="9">
        <f t="shared" si="3"/>
        <v>10000</v>
      </c>
      <c r="R10" s="8">
        <f t="shared" si="4"/>
        <v>0</v>
      </c>
      <c r="S10" s="2"/>
      <c r="T10" s="2"/>
      <c r="U10" s="2"/>
      <c r="V10" s="2"/>
      <c r="W10" s="2"/>
    </row>
    <row r="11" spans="1:23" ht="15.75" customHeight="1" x14ac:dyDescent="0.3">
      <c r="A11" s="28">
        <v>45721</v>
      </c>
      <c r="B11" s="33"/>
      <c r="C11" s="33"/>
      <c r="D11" s="34"/>
      <c r="E11" s="34"/>
      <c r="F11" s="34"/>
      <c r="G11" s="34"/>
      <c r="H11" s="34"/>
      <c r="I11" s="34"/>
      <c r="J11" s="35"/>
      <c r="K11" s="35"/>
      <c r="L11" s="36"/>
      <c r="M11" s="32">
        <f t="shared" si="0"/>
        <v>17000</v>
      </c>
      <c r="N11" s="5">
        <f t="shared" si="5"/>
        <v>17000</v>
      </c>
      <c r="O11" s="32">
        <f t="shared" si="1"/>
        <v>12000</v>
      </c>
      <c r="P11" s="8">
        <f t="shared" si="2"/>
        <v>0</v>
      </c>
      <c r="Q11" s="9">
        <f t="shared" si="3"/>
        <v>10000</v>
      </c>
      <c r="R11" s="8">
        <f t="shared" si="4"/>
        <v>0</v>
      </c>
      <c r="S11" s="2"/>
      <c r="T11" s="2"/>
      <c r="U11" s="2"/>
      <c r="V11" s="2"/>
      <c r="W11" s="2"/>
    </row>
    <row r="12" spans="1:23" ht="15.75" customHeight="1" x14ac:dyDescent="0.3">
      <c r="A12" s="28">
        <v>45722</v>
      </c>
      <c r="B12" s="33"/>
      <c r="C12" s="33"/>
      <c r="D12" s="34"/>
      <c r="E12" s="34"/>
      <c r="F12" s="34"/>
      <c r="G12" s="34"/>
      <c r="H12" s="34"/>
      <c r="I12" s="34"/>
      <c r="J12" s="35"/>
      <c r="K12" s="35"/>
      <c r="L12" s="36"/>
      <c r="M12" s="32">
        <f t="shared" si="0"/>
        <v>17000</v>
      </c>
      <c r="N12" s="5">
        <f t="shared" si="5"/>
        <v>17000</v>
      </c>
      <c r="O12" s="32">
        <f t="shared" si="1"/>
        <v>12000</v>
      </c>
      <c r="P12" s="8">
        <f t="shared" si="2"/>
        <v>0</v>
      </c>
      <c r="Q12" s="9">
        <f t="shared" si="3"/>
        <v>10000</v>
      </c>
      <c r="R12" s="8">
        <f t="shared" si="4"/>
        <v>0</v>
      </c>
      <c r="S12" s="2"/>
      <c r="T12" s="2"/>
      <c r="U12" s="2"/>
      <c r="V12" s="2"/>
      <c r="W12" s="2"/>
    </row>
    <row r="13" spans="1:23" ht="15.75" customHeight="1" x14ac:dyDescent="0.3">
      <c r="A13" s="28">
        <v>45723</v>
      </c>
      <c r="B13" s="33"/>
      <c r="C13" s="33"/>
      <c r="D13" s="34"/>
      <c r="E13" s="34"/>
      <c r="F13" s="34"/>
      <c r="G13" s="34"/>
      <c r="H13" s="34"/>
      <c r="I13" s="34"/>
      <c r="J13" s="35"/>
      <c r="K13" s="35"/>
      <c r="L13" s="36"/>
      <c r="M13" s="32">
        <f t="shared" si="0"/>
        <v>17000</v>
      </c>
      <c r="N13" s="5">
        <f t="shared" si="5"/>
        <v>17000</v>
      </c>
      <c r="O13" s="32">
        <f t="shared" si="1"/>
        <v>12000</v>
      </c>
      <c r="P13" s="8">
        <f t="shared" si="2"/>
        <v>0</v>
      </c>
      <c r="Q13" s="9">
        <f t="shared" si="3"/>
        <v>10000</v>
      </c>
      <c r="R13" s="8">
        <f t="shared" si="4"/>
        <v>0</v>
      </c>
      <c r="S13" s="2"/>
      <c r="T13" s="2"/>
      <c r="U13" s="2"/>
      <c r="V13" s="2"/>
      <c r="W13" s="2"/>
    </row>
    <row r="14" spans="1:23" ht="15.75" customHeight="1" x14ac:dyDescent="0.3">
      <c r="A14" s="28">
        <v>45724</v>
      </c>
      <c r="B14" s="33"/>
      <c r="C14" s="33"/>
      <c r="D14" s="34"/>
      <c r="E14" s="34"/>
      <c r="F14" s="34"/>
      <c r="G14" s="34"/>
      <c r="H14" s="34"/>
      <c r="I14" s="34"/>
      <c r="J14" s="35"/>
      <c r="K14" s="35"/>
      <c r="L14" s="36"/>
      <c r="M14" s="32">
        <f t="shared" si="0"/>
        <v>17000</v>
      </c>
      <c r="N14" s="5">
        <f t="shared" si="5"/>
        <v>17000</v>
      </c>
      <c r="O14" s="32">
        <f t="shared" si="1"/>
        <v>12000</v>
      </c>
      <c r="P14" s="8">
        <f t="shared" si="2"/>
        <v>0</v>
      </c>
      <c r="Q14" s="9">
        <f t="shared" si="3"/>
        <v>10000</v>
      </c>
      <c r="R14" s="8">
        <f t="shared" si="4"/>
        <v>0</v>
      </c>
      <c r="S14" s="2"/>
      <c r="T14" s="2"/>
      <c r="U14" s="2"/>
      <c r="V14" s="2"/>
      <c r="W14" s="2"/>
    </row>
    <row r="15" spans="1:23" ht="15.75" customHeight="1" x14ac:dyDescent="0.3">
      <c r="A15" s="28">
        <v>45725</v>
      </c>
      <c r="B15" s="33"/>
      <c r="C15" s="33"/>
      <c r="D15" s="34"/>
      <c r="E15" s="34"/>
      <c r="F15" s="34"/>
      <c r="G15" s="34"/>
      <c r="H15" s="34"/>
      <c r="I15" s="34"/>
      <c r="J15" s="35"/>
      <c r="K15" s="35"/>
      <c r="L15" s="36"/>
      <c r="M15" s="32">
        <f t="shared" si="0"/>
        <v>17000</v>
      </c>
      <c r="N15" s="5">
        <f t="shared" si="5"/>
        <v>17000</v>
      </c>
      <c r="O15" s="32">
        <f t="shared" si="1"/>
        <v>12000</v>
      </c>
      <c r="P15" s="8">
        <f t="shared" si="2"/>
        <v>0</v>
      </c>
      <c r="Q15" s="9">
        <f t="shared" si="3"/>
        <v>10000</v>
      </c>
      <c r="R15" s="8">
        <f t="shared" si="4"/>
        <v>0</v>
      </c>
      <c r="S15" s="2"/>
      <c r="T15" s="2"/>
      <c r="U15" s="2"/>
      <c r="V15" s="2"/>
      <c r="W15" s="2"/>
    </row>
    <row r="16" spans="1:23" ht="15.75" customHeight="1" x14ac:dyDescent="0.3">
      <c r="A16" s="28">
        <v>45726</v>
      </c>
      <c r="B16" s="33"/>
      <c r="C16" s="33"/>
      <c r="D16" s="34"/>
      <c r="E16" s="34"/>
      <c r="F16" s="34"/>
      <c r="G16" s="34"/>
      <c r="H16" s="34"/>
      <c r="I16" s="34"/>
      <c r="J16" s="35"/>
      <c r="K16" s="35"/>
      <c r="L16" s="36"/>
      <c r="M16" s="32">
        <f t="shared" si="0"/>
        <v>17000</v>
      </c>
      <c r="N16" s="5">
        <f t="shared" si="5"/>
        <v>17000</v>
      </c>
      <c r="O16" s="32">
        <f t="shared" si="1"/>
        <v>12000</v>
      </c>
      <c r="P16" s="8">
        <f t="shared" si="2"/>
        <v>0</v>
      </c>
      <c r="Q16" s="9">
        <f t="shared" si="3"/>
        <v>10000</v>
      </c>
      <c r="R16" s="8">
        <f t="shared" si="4"/>
        <v>0</v>
      </c>
      <c r="S16" s="2"/>
      <c r="T16" s="2"/>
      <c r="U16" s="2"/>
      <c r="V16" s="2"/>
      <c r="W16" s="2"/>
    </row>
    <row r="17" spans="1:23" ht="15.75" customHeight="1" x14ac:dyDescent="0.3">
      <c r="A17" s="28">
        <v>45727</v>
      </c>
      <c r="B17" s="33"/>
      <c r="C17" s="33"/>
      <c r="D17" s="34"/>
      <c r="E17" s="34"/>
      <c r="F17" s="34"/>
      <c r="G17" s="34"/>
      <c r="H17" s="34"/>
      <c r="I17" s="34"/>
      <c r="J17" s="35"/>
      <c r="K17" s="35"/>
      <c r="L17" s="36"/>
      <c r="M17" s="32">
        <f t="shared" si="0"/>
        <v>17000</v>
      </c>
      <c r="N17" s="5">
        <f t="shared" si="5"/>
        <v>17000</v>
      </c>
      <c r="O17" s="32">
        <f t="shared" si="1"/>
        <v>12000</v>
      </c>
      <c r="P17" s="8">
        <f t="shared" si="2"/>
        <v>0</v>
      </c>
      <c r="Q17" s="9">
        <f t="shared" si="3"/>
        <v>10000</v>
      </c>
      <c r="R17" s="8">
        <f t="shared" si="4"/>
        <v>0</v>
      </c>
      <c r="S17" s="2"/>
      <c r="T17" s="2"/>
      <c r="U17" s="2"/>
      <c r="V17" s="2"/>
      <c r="W17" s="2"/>
    </row>
    <row r="18" spans="1:23" ht="15.75" customHeight="1" x14ac:dyDescent="0.3">
      <c r="A18" s="28">
        <v>45728</v>
      </c>
      <c r="B18" s="33"/>
      <c r="C18" s="33"/>
      <c r="D18" s="34"/>
      <c r="E18" s="34"/>
      <c r="F18" s="34"/>
      <c r="G18" s="34"/>
      <c r="H18" s="34"/>
      <c r="I18" s="34"/>
      <c r="J18" s="36"/>
      <c r="K18" s="36"/>
      <c r="L18" s="36"/>
      <c r="M18" s="32">
        <f t="shared" si="0"/>
        <v>17000</v>
      </c>
      <c r="N18" s="5">
        <f t="shared" si="5"/>
        <v>17000</v>
      </c>
      <c r="O18" s="32">
        <f t="shared" si="1"/>
        <v>12000</v>
      </c>
      <c r="P18" s="8">
        <f t="shared" si="2"/>
        <v>0</v>
      </c>
      <c r="Q18" s="9">
        <f t="shared" si="3"/>
        <v>10000</v>
      </c>
      <c r="R18" s="8">
        <f t="shared" si="4"/>
        <v>0</v>
      </c>
    </row>
    <row r="19" spans="1:23" ht="15.75" customHeight="1" x14ac:dyDescent="0.3">
      <c r="A19" s="28">
        <v>45729</v>
      </c>
      <c r="B19" s="33"/>
      <c r="C19" s="33"/>
      <c r="D19" s="34"/>
      <c r="E19" s="34"/>
      <c r="F19" s="34"/>
      <c r="G19" s="34"/>
      <c r="H19" s="34"/>
      <c r="I19" s="34"/>
      <c r="J19" s="36"/>
      <c r="K19" s="36"/>
      <c r="L19" s="36"/>
      <c r="M19" s="32">
        <f t="shared" si="0"/>
        <v>17000</v>
      </c>
      <c r="N19" s="5">
        <f t="shared" si="5"/>
        <v>17000</v>
      </c>
      <c r="O19" s="32">
        <f t="shared" si="1"/>
        <v>12000</v>
      </c>
      <c r="P19" s="8">
        <f t="shared" si="2"/>
        <v>0</v>
      </c>
      <c r="Q19" s="9">
        <f t="shared" si="3"/>
        <v>10000</v>
      </c>
      <c r="R19" s="8">
        <f t="shared" si="4"/>
        <v>0</v>
      </c>
    </row>
    <row r="20" spans="1:23" ht="15.75" customHeight="1" x14ac:dyDescent="0.3">
      <c r="A20" s="28">
        <v>45730</v>
      </c>
      <c r="B20" s="33"/>
      <c r="C20" s="33"/>
      <c r="D20" s="34"/>
      <c r="E20" s="34"/>
      <c r="F20" s="34"/>
      <c r="G20" s="34"/>
      <c r="H20" s="34"/>
      <c r="I20" s="34"/>
      <c r="J20" s="36"/>
      <c r="K20" s="36"/>
      <c r="L20" s="36"/>
      <c r="M20" s="32">
        <f t="shared" si="0"/>
        <v>17000</v>
      </c>
      <c r="N20" s="5">
        <f t="shared" si="5"/>
        <v>17000</v>
      </c>
      <c r="O20" s="32">
        <f t="shared" si="1"/>
        <v>12000</v>
      </c>
      <c r="P20" s="8">
        <f t="shared" si="2"/>
        <v>0</v>
      </c>
      <c r="Q20" s="9">
        <f t="shared" si="3"/>
        <v>10000</v>
      </c>
      <c r="R20" s="8">
        <f t="shared" si="4"/>
        <v>0</v>
      </c>
    </row>
    <row r="21" spans="1:23" ht="15.75" customHeight="1" x14ac:dyDescent="0.3">
      <c r="A21" s="28">
        <v>45731</v>
      </c>
      <c r="B21" s="33"/>
      <c r="C21" s="33"/>
      <c r="D21" s="34"/>
      <c r="E21" s="34"/>
      <c r="F21" s="34"/>
      <c r="G21" s="34"/>
      <c r="H21" s="34"/>
      <c r="I21" s="34"/>
      <c r="J21" s="36"/>
      <c r="K21" s="36"/>
      <c r="L21" s="36"/>
      <c r="M21" s="32">
        <f t="shared" si="0"/>
        <v>17000</v>
      </c>
      <c r="N21" s="5">
        <f t="shared" si="5"/>
        <v>17000</v>
      </c>
      <c r="O21" s="32">
        <f t="shared" si="1"/>
        <v>12000</v>
      </c>
      <c r="P21" s="8">
        <f t="shared" si="2"/>
        <v>0</v>
      </c>
      <c r="Q21" s="9">
        <f t="shared" si="3"/>
        <v>10000</v>
      </c>
      <c r="R21" s="8">
        <f t="shared" si="4"/>
        <v>0</v>
      </c>
    </row>
    <row r="22" spans="1:23" ht="15.75" customHeight="1" x14ac:dyDescent="0.3">
      <c r="A22" s="28">
        <v>45732</v>
      </c>
      <c r="B22" s="33"/>
      <c r="C22" s="33"/>
      <c r="D22" s="34"/>
      <c r="E22" s="34"/>
      <c r="F22" s="34"/>
      <c r="G22" s="34"/>
      <c r="H22" s="34"/>
      <c r="I22" s="34"/>
      <c r="J22" s="36"/>
      <c r="K22" s="36"/>
      <c r="L22" s="36"/>
      <c r="M22" s="32">
        <f t="shared" si="0"/>
        <v>17000</v>
      </c>
      <c r="N22" s="5">
        <f t="shared" si="5"/>
        <v>17000</v>
      </c>
      <c r="O22" s="32">
        <f t="shared" si="1"/>
        <v>12000</v>
      </c>
      <c r="P22" s="8">
        <f t="shared" si="2"/>
        <v>0</v>
      </c>
      <c r="Q22" s="9">
        <f t="shared" si="3"/>
        <v>10000</v>
      </c>
      <c r="R22" s="8">
        <f t="shared" si="4"/>
        <v>0</v>
      </c>
    </row>
    <row r="23" spans="1:23" ht="15.75" customHeight="1" x14ac:dyDescent="0.3">
      <c r="A23" s="28">
        <v>45733</v>
      </c>
      <c r="B23" s="33"/>
      <c r="C23" s="33"/>
      <c r="D23" s="34"/>
      <c r="E23" s="34"/>
      <c r="F23" s="34"/>
      <c r="G23" s="34"/>
      <c r="H23" s="34"/>
      <c r="I23" s="34"/>
      <c r="J23" s="36"/>
      <c r="K23" s="36"/>
      <c r="L23" s="36"/>
      <c r="M23" s="32">
        <f t="shared" si="0"/>
        <v>17000</v>
      </c>
      <c r="N23" s="5">
        <f t="shared" si="5"/>
        <v>17000</v>
      </c>
      <c r="O23" s="32">
        <f t="shared" si="1"/>
        <v>12000</v>
      </c>
      <c r="P23" s="8">
        <f t="shared" si="2"/>
        <v>0</v>
      </c>
      <c r="Q23" s="9">
        <f t="shared" si="3"/>
        <v>10000</v>
      </c>
      <c r="R23" s="8">
        <f t="shared" si="4"/>
        <v>0</v>
      </c>
    </row>
    <row r="24" spans="1:23" ht="15.75" customHeight="1" x14ac:dyDescent="0.3">
      <c r="A24" s="28">
        <v>45734</v>
      </c>
      <c r="B24" s="33"/>
      <c r="C24" s="33"/>
      <c r="D24" s="34"/>
      <c r="E24" s="34"/>
      <c r="F24" s="34"/>
      <c r="G24" s="34"/>
      <c r="H24" s="34"/>
      <c r="I24" s="34"/>
      <c r="J24" s="36"/>
      <c r="K24" s="36"/>
      <c r="L24" s="36">
        <v>-15000</v>
      </c>
      <c r="M24" s="32">
        <f t="shared" si="0"/>
        <v>17000</v>
      </c>
      <c r="N24" s="5">
        <f t="shared" si="5"/>
        <v>17000</v>
      </c>
      <c r="O24" s="32">
        <f t="shared" si="1"/>
        <v>12000</v>
      </c>
      <c r="P24" s="8">
        <f t="shared" si="2"/>
        <v>0</v>
      </c>
      <c r="Q24" s="9">
        <f t="shared" si="3"/>
        <v>-5000</v>
      </c>
      <c r="R24" s="8">
        <f t="shared" si="4"/>
        <v>0</v>
      </c>
    </row>
    <row r="25" spans="1:23" ht="15.75" customHeight="1" x14ac:dyDescent="0.3">
      <c r="A25" s="28">
        <v>45735</v>
      </c>
      <c r="B25" s="33"/>
      <c r="C25" s="33"/>
      <c r="D25" s="34"/>
      <c r="E25" s="34"/>
      <c r="F25" s="34"/>
      <c r="G25" s="34"/>
      <c r="H25" s="34"/>
      <c r="I25" s="34"/>
      <c r="J25" s="36"/>
      <c r="K25" s="36"/>
      <c r="L25" s="36"/>
      <c r="M25" s="32">
        <f t="shared" si="0"/>
        <v>17000</v>
      </c>
      <c r="N25" s="5">
        <f t="shared" si="5"/>
        <v>17000</v>
      </c>
      <c r="O25" s="32">
        <f t="shared" si="1"/>
        <v>12000</v>
      </c>
      <c r="P25" s="8">
        <f t="shared" si="2"/>
        <v>0</v>
      </c>
      <c r="Q25" s="9">
        <f t="shared" si="3"/>
        <v>-5000</v>
      </c>
      <c r="R25" s="8">
        <f t="shared" si="4"/>
        <v>0</v>
      </c>
    </row>
    <row r="26" spans="1:23" ht="15.75" customHeight="1" x14ac:dyDescent="0.3">
      <c r="A26" s="28">
        <v>45736</v>
      </c>
      <c r="B26" s="33"/>
      <c r="C26" s="33"/>
      <c r="D26" s="34"/>
      <c r="E26" s="34"/>
      <c r="F26" s="34"/>
      <c r="G26" s="34"/>
      <c r="H26" s="34"/>
      <c r="I26" s="34"/>
      <c r="J26" s="36"/>
      <c r="K26" s="36"/>
      <c r="L26" s="36"/>
      <c r="M26" s="32">
        <f t="shared" si="0"/>
        <v>17000</v>
      </c>
      <c r="N26" s="5">
        <f t="shared" si="5"/>
        <v>17000</v>
      </c>
      <c r="O26" s="32">
        <f t="shared" si="1"/>
        <v>12000</v>
      </c>
      <c r="P26" s="8">
        <f t="shared" si="2"/>
        <v>0</v>
      </c>
      <c r="Q26" s="9">
        <f t="shared" si="3"/>
        <v>-5000</v>
      </c>
      <c r="R26" s="8">
        <f t="shared" si="4"/>
        <v>0</v>
      </c>
    </row>
    <row r="27" spans="1:23" ht="15.75" customHeight="1" x14ac:dyDescent="0.3">
      <c r="A27" s="28">
        <v>45737</v>
      </c>
      <c r="B27" s="33"/>
      <c r="C27" s="33"/>
      <c r="D27" s="34"/>
      <c r="E27" s="34"/>
      <c r="F27" s="34"/>
      <c r="G27" s="34"/>
      <c r="H27" s="34"/>
      <c r="I27" s="34"/>
      <c r="J27" s="36"/>
      <c r="K27" s="36"/>
      <c r="L27" s="36"/>
      <c r="M27" s="32">
        <f t="shared" si="0"/>
        <v>17000</v>
      </c>
      <c r="N27" s="5">
        <f t="shared" si="5"/>
        <v>17000</v>
      </c>
      <c r="O27" s="32">
        <f t="shared" si="1"/>
        <v>12000</v>
      </c>
      <c r="P27" s="8">
        <f t="shared" si="2"/>
        <v>0</v>
      </c>
      <c r="Q27" s="9">
        <f t="shared" si="3"/>
        <v>-5000</v>
      </c>
      <c r="R27" s="8">
        <f t="shared" si="4"/>
        <v>0</v>
      </c>
    </row>
    <row r="28" spans="1:23" ht="15.75" customHeight="1" x14ac:dyDescent="0.3">
      <c r="A28" s="28">
        <v>45738</v>
      </c>
      <c r="B28" s="33"/>
      <c r="C28" s="33"/>
      <c r="D28" s="34"/>
      <c r="E28" s="34"/>
      <c r="F28" s="34"/>
      <c r="G28" s="34"/>
      <c r="H28" s="34"/>
      <c r="I28" s="34"/>
      <c r="J28" s="36"/>
      <c r="K28" s="36"/>
      <c r="L28" s="36"/>
      <c r="M28" s="32">
        <f t="shared" si="0"/>
        <v>17000</v>
      </c>
      <c r="N28" s="5">
        <f t="shared" si="5"/>
        <v>17000</v>
      </c>
      <c r="O28" s="32">
        <f t="shared" si="1"/>
        <v>12000</v>
      </c>
      <c r="P28" s="8">
        <f t="shared" si="2"/>
        <v>0</v>
      </c>
      <c r="Q28" s="9">
        <f t="shared" si="3"/>
        <v>-5000</v>
      </c>
      <c r="R28" s="8">
        <f t="shared" si="4"/>
        <v>0</v>
      </c>
    </row>
    <row r="29" spans="1:23" ht="15.75" customHeight="1" x14ac:dyDescent="0.3">
      <c r="A29" s="28">
        <v>45739</v>
      </c>
      <c r="B29" s="33"/>
      <c r="C29" s="33"/>
      <c r="D29" s="34"/>
      <c r="E29" s="34"/>
      <c r="F29" s="34"/>
      <c r="G29" s="34"/>
      <c r="H29" s="34"/>
      <c r="I29" s="34"/>
      <c r="J29" s="36"/>
      <c r="K29" s="36"/>
      <c r="L29" s="36"/>
      <c r="M29" s="32">
        <f t="shared" si="0"/>
        <v>17000</v>
      </c>
      <c r="N29" s="5">
        <f t="shared" si="5"/>
        <v>17000</v>
      </c>
      <c r="O29" s="32">
        <f t="shared" si="1"/>
        <v>12000</v>
      </c>
      <c r="P29" s="8">
        <f t="shared" si="2"/>
        <v>0</v>
      </c>
      <c r="Q29" s="9">
        <f t="shared" si="3"/>
        <v>-5000</v>
      </c>
      <c r="R29" s="8">
        <f t="shared" si="4"/>
        <v>0</v>
      </c>
    </row>
    <row r="30" spans="1:23" ht="15.75" customHeight="1" x14ac:dyDescent="0.3">
      <c r="A30" s="28">
        <v>45740</v>
      </c>
      <c r="B30" s="33"/>
      <c r="C30" s="33"/>
      <c r="D30" s="34"/>
      <c r="E30" s="34"/>
      <c r="F30" s="34"/>
      <c r="G30" s="34"/>
      <c r="H30" s="34"/>
      <c r="I30" s="34"/>
      <c r="J30" s="36"/>
      <c r="K30" s="36"/>
      <c r="L30" s="36"/>
      <c r="M30" s="32">
        <f t="shared" si="0"/>
        <v>17000</v>
      </c>
      <c r="N30" s="5">
        <f t="shared" si="5"/>
        <v>17000</v>
      </c>
      <c r="O30" s="32">
        <f t="shared" si="1"/>
        <v>12000</v>
      </c>
      <c r="P30" s="8">
        <f t="shared" si="2"/>
        <v>0</v>
      </c>
      <c r="Q30" s="9">
        <f t="shared" si="3"/>
        <v>-5000</v>
      </c>
      <c r="R30" s="8">
        <f t="shared" si="4"/>
        <v>0</v>
      </c>
    </row>
    <row r="31" spans="1:23" ht="15.75" customHeight="1" x14ac:dyDescent="0.3">
      <c r="A31" s="28">
        <v>45741</v>
      </c>
      <c r="B31" s="33"/>
      <c r="C31" s="33"/>
      <c r="D31" s="34"/>
      <c r="E31" s="34"/>
      <c r="F31" s="34"/>
      <c r="G31" s="34"/>
      <c r="H31" s="34"/>
      <c r="I31" s="34"/>
      <c r="J31" s="36"/>
      <c r="K31" s="36"/>
      <c r="L31" s="36"/>
      <c r="M31" s="32">
        <f t="shared" si="0"/>
        <v>17000</v>
      </c>
      <c r="N31" s="5">
        <f t="shared" si="5"/>
        <v>17000</v>
      </c>
      <c r="O31" s="32">
        <f t="shared" si="1"/>
        <v>12000</v>
      </c>
      <c r="P31" s="8">
        <f t="shared" si="2"/>
        <v>0</v>
      </c>
      <c r="Q31" s="9">
        <f t="shared" si="3"/>
        <v>-5000</v>
      </c>
      <c r="R31" s="8">
        <f t="shared" si="4"/>
        <v>0</v>
      </c>
    </row>
    <row r="32" spans="1:23" ht="15.75" customHeight="1" x14ac:dyDescent="0.3">
      <c r="A32" s="28">
        <v>45742</v>
      </c>
      <c r="B32" s="33"/>
      <c r="C32" s="33"/>
      <c r="D32" s="34"/>
      <c r="E32" s="34"/>
      <c r="F32" s="34"/>
      <c r="G32" s="34"/>
      <c r="H32" s="34"/>
      <c r="I32" s="34"/>
      <c r="J32" s="36"/>
      <c r="K32" s="36"/>
      <c r="L32" s="36"/>
      <c r="M32" s="32">
        <f t="shared" si="0"/>
        <v>17000</v>
      </c>
      <c r="N32" s="5">
        <f t="shared" si="5"/>
        <v>17000</v>
      </c>
      <c r="O32" s="32">
        <f t="shared" si="1"/>
        <v>12000</v>
      </c>
      <c r="P32" s="8">
        <f t="shared" si="2"/>
        <v>0</v>
      </c>
      <c r="Q32" s="9">
        <f t="shared" si="3"/>
        <v>-5000</v>
      </c>
      <c r="R32" s="8">
        <f t="shared" si="4"/>
        <v>0</v>
      </c>
    </row>
    <row r="33" spans="1:18" ht="15.75" customHeight="1" x14ac:dyDescent="0.3">
      <c r="A33" s="28">
        <v>45743</v>
      </c>
      <c r="B33" s="33"/>
      <c r="C33" s="33"/>
      <c r="D33" s="34"/>
      <c r="E33" s="34"/>
      <c r="F33" s="34"/>
      <c r="G33" s="34"/>
      <c r="H33" s="34"/>
      <c r="I33" s="34"/>
      <c r="J33" s="36"/>
      <c r="K33" s="36"/>
      <c r="L33" s="36"/>
      <c r="M33" s="32">
        <f t="shared" si="0"/>
        <v>17000</v>
      </c>
      <c r="N33" s="5">
        <f t="shared" si="5"/>
        <v>17000</v>
      </c>
      <c r="O33" s="32">
        <f t="shared" si="1"/>
        <v>12000</v>
      </c>
      <c r="P33" s="8">
        <f t="shared" si="2"/>
        <v>0</v>
      </c>
      <c r="Q33" s="9">
        <f t="shared" si="3"/>
        <v>-5000</v>
      </c>
      <c r="R33" s="8">
        <f t="shared" si="4"/>
        <v>0</v>
      </c>
    </row>
    <row r="34" spans="1:18" ht="15.75" customHeight="1" x14ac:dyDescent="0.3">
      <c r="A34" s="28">
        <v>45744</v>
      </c>
      <c r="B34" s="33"/>
      <c r="C34" s="33"/>
      <c r="D34" s="34"/>
      <c r="E34" s="34"/>
      <c r="F34" s="34"/>
      <c r="G34" s="34"/>
      <c r="H34" s="34"/>
      <c r="I34" s="34"/>
      <c r="J34" s="36"/>
      <c r="K34" s="36"/>
      <c r="L34" s="36"/>
      <c r="M34" s="32">
        <f t="shared" si="0"/>
        <v>17000</v>
      </c>
      <c r="N34" s="5">
        <f t="shared" si="5"/>
        <v>17000</v>
      </c>
      <c r="O34" s="32">
        <f t="shared" si="1"/>
        <v>12000</v>
      </c>
      <c r="P34" s="8">
        <f t="shared" si="2"/>
        <v>0</v>
      </c>
      <c r="Q34" s="9">
        <f t="shared" si="3"/>
        <v>-5000</v>
      </c>
      <c r="R34" s="8">
        <f t="shared" si="4"/>
        <v>0</v>
      </c>
    </row>
    <row r="35" spans="1:18" ht="15.75" customHeight="1" x14ac:dyDescent="0.3">
      <c r="A35" s="28">
        <v>45745</v>
      </c>
      <c r="B35" s="33"/>
      <c r="C35" s="33"/>
      <c r="D35" s="34"/>
      <c r="E35" s="34"/>
      <c r="F35" s="34"/>
      <c r="G35" s="34"/>
      <c r="H35" s="34"/>
      <c r="I35" s="34"/>
      <c r="J35" s="36"/>
      <c r="K35" s="36"/>
      <c r="L35" s="36"/>
      <c r="M35" s="32">
        <f t="shared" si="0"/>
        <v>17000</v>
      </c>
      <c r="N35" s="5">
        <f t="shared" si="5"/>
        <v>17000</v>
      </c>
      <c r="O35" s="32">
        <f t="shared" si="1"/>
        <v>12000</v>
      </c>
      <c r="P35" s="8">
        <f t="shared" si="2"/>
        <v>0</v>
      </c>
      <c r="Q35" s="9">
        <f t="shared" si="3"/>
        <v>-5000</v>
      </c>
      <c r="R35" s="8">
        <f t="shared" si="4"/>
        <v>0</v>
      </c>
    </row>
    <row r="36" spans="1:18" ht="15.75" customHeight="1" x14ac:dyDescent="0.3">
      <c r="A36" s="28">
        <v>45746</v>
      </c>
      <c r="B36" s="33"/>
      <c r="C36" s="33"/>
      <c r="D36" s="34"/>
      <c r="E36" s="34"/>
      <c r="F36" s="34"/>
      <c r="G36" s="34"/>
      <c r="H36" s="34"/>
      <c r="I36" s="34"/>
      <c r="J36" s="36"/>
      <c r="K36" s="36"/>
      <c r="L36" s="36"/>
      <c r="M36" s="32">
        <f t="shared" si="0"/>
        <v>17000</v>
      </c>
      <c r="N36" s="5">
        <f t="shared" si="5"/>
        <v>17000</v>
      </c>
      <c r="O36" s="32">
        <f t="shared" si="1"/>
        <v>12000</v>
      </c>
      <c r="P36" s="8">
        <f t="shared" si="2"/>
        <v>0</v>
      </c>
      <c r="Q36" s="9">
        <f t="shared" si="3"/>
        <v>-5000</v>
      </c>
      <c r="R36" s="8">
        <f t="shared" si="4"/>
        <v>0</v>
      </c>
    </row>
    <row r="37" spans="1:18" ht="15.75" customHeight="1" x14ac:dyDescent="0.3">
      <c r="A37" s="28">
        <v>45747</v>
      </c>
      <c r="B37" s="33"/>
      <c r="C37" s="33"/>
      <c r="D37" s="34"/>
      <c r="E37" s="34"/>
      <c r="F37" s="34"/>
      <c r="G37" s="34"/>
      <c r="H37" s="34"/>
      <c r="I37" s="34"/>
      <c r="J37" s="36"/>
      <c r="K37" s="36"/>
      <c r="L37" s="36"/>
      <c r="M37" s="32">
        <f t="shared" si="0"/>
        <v>17000</v>
      </c>
      <c r="N37" s="5">
        <f t="shared" si="5"/>
        <v>17000</v>
      </c>
      <c r="O37" s="32">
        <f t="shared" si="1"/>
        <v>12000</v>
      </c>
      <c r="P37" s="8">
        <f t="shared" si="2"/>
        <v>0</v>
      </c>
      <c r="Q37" s="9">
        <f t="shared" si="3"/>
        <v>-5000</v>
      </c>
      <c r="R37" s="8">
        <f t="shared" si="4"/>
        <v>0</v>
      </c>
    </row>
    <row r="38" spans="1:18" ht="15.75" customHeight="1" x14ac:dyDescent="0.3">
      <c r="A38" s="28">
        <v>45748</v>
      </c>
      <c r="B38" s="33"/>
      <c r="C38" s="33"/>
      <c r="D38" s="34"/>
      <c r="E38" s="34"/>
      <c r="F38" s="34"/>
      <c r="G38" s="34"/>
      <c r="H38" s="34"/>
      <c r="I38" s="34"/>
      <c r="J38" s="36"/>
      <c r="K38" s="36"/>
      <c r="L38" s="36"/>
      <c r="M38" s="32">
        <f t="shared" si="0"/>
        <v>17000</v>
      </c>
      <c r="N38" s="5">
        <f t="shared" si="5"/>
        <v>17000</v>
      </c>
      <c r="O38" s="32">
        <f t="shared" si="1"/>
        <v>12000</v>
      </c>
      <c r="P38" s="8">
        <f t="shared" si="2"/>
        <v>0</v>
      </c>
      <c r="Q38" s="9">
        <f t="shared" si="3"/>
        <v>-5000</v>
      </c>
      <c r="R38" s="8">
        <f t="shared" si="4"/>
        <v>0</v>
      </c>
    </row>
    <row r="39" spans="1:18" ht="15.75" customHeight="1" x14ac:dyDescent="0.3">
      <c r="A39" s="28">
        <v>45749</v>
      </c>
      <c r="B39" s="33"/>
      <c r="C39" s="33"/>
      <c r="D39" s="34"/>
      <c r="E39" s="34"/>
      <c r="F39" s="34"/>
      <c r="G39" s="34"/>
      <c r="H39" s="34"/>
      <c r="I39" s="34"/>
      <c r="J39" s="36"/>
      <c r="K39" s="36"/>
      <c r="L39" s="36"/>
      <c r="M39" s="32">
        <f t="shared" si="0"/>
        <v>17000</v>
      </c>
      <c r="N39" s="5">
        <f t="shared" si="5"/>
        <v>17000</v>
      </c>
      <c r="O39" s="32">
        <f t="shared" si="1"/>
        <v>12000</v>
      </c>
      <c r="P39" s="8">
        <f t="shared" si="2"/>
        <v>0</v>
      </c>
      <c r="Q39" s="9">
        <f t="shared" si="3"/>
        <v>-5000</v>
      </c>
      <c r="R39" s="8">
        <f t="shared" si="4"/>
        <v>0</v>
      </c>
    </row>
    <row r="40" spans="1:18" ht="15.75" customHeight="1" x14ac:dyDescent="0.3">
      <c r="A40" s="28">
        <v>45750</v>
      </c>
      <c r="B40" s="33"/>
      <c r="C40" s="33"/>
      <c r="D40" s="34"/>
      <c r="E40" s="34"/>
      <c r="F40" s="34"/>
      <c r="G40" s="34"/>
      <c r="H40" s="34"/>
      <c r="I40" s="34"/>
      <c r="J40" s="36"/>
      <c r="K40" s="36"/>
      <c r="L40" s="36"/>
      <c r="M40" s="32">
        <f t="shared" si="0"/>
        <v>17000</v>
      </c>
      <c r="N40" s="5">
        <f t="shared" si="5"/>
        <v>17000</v>
      </c>
      <c r="O40" s="32">
        <f t="shared" si="1"/>
        <v>12000</v>
      </c>
      <c r="P40" s="8">
        <f t="shared" si="2"/>
        <v>0</v>
      </c>
      <c r="Q40" s="9">
        <f t="shared" si="3"/>
        <v>-5000</v>
      </c>
      <c r="R40" s="8">
        <f t="shared" si="4"/>
        <v>0</v>
      </c>
    </row>
    <row r="41" spans="1:18" ht="15.75" customHeight="1" x14ac:dyDescent="0.3">
      <c r="A41" s="28">
        <v>45751</v>
      </c>
      <c r="B41" s="33"/>
      <c r="C41" s="33"/>
      <c r="D41" s="34"/>
      <c r="E41" s="34"/>
      <c r="F41" s="34"/>
      <c r="G41" s="34"/>
      <c r="H41" s="34"/>
      <c r="I41" s="34"/>
      <c r="J41" s="36"/>
      <c r="K41" s="36"/>
      <c r="L41" s="36"/>
      <c r="M41" s="32">
        <f t="shared" si="0"/>
        <v>17000</v>
      </c>
      <c r="N41" s="5">
        <f t="shared" si="5"/>
        <v>17000</v>
      </c>
      <c r="O41" s="32">
        <f t="shared" si="1"/>
        <v>12000</v>
      </c>
      <c r="P41" s="8">
        <f t="shared" si="2"/>
        <v>0</v>
      </c>
      <c r="Q41" s="9">
        <f t="shared" si="3"/>
        <v>-5000</v>
      </c>
      <c r="R41" s="8">
        <f t="shared" si="4"/>
        <v>0</v>
      </c>
    </row>
    <row r="42" spans="1:18" ht="15.75" customHeight="1" x14ac:dyDescent="0.3">
      <c r="A42" s="28">
        <v>45752</v>
      </c>
      <c r="B42" s="33"/>
      <c r="C42" s="33"/>
      <c r="D42" s="34"/>
      <c r="E42" s="34"/>
      <c r="F42" s="34"/>
      <c r="G42" s="34"/>
      <c r="H42" s="34"/>
      <c r="I42" s="34"/>
      <c r="J42" s="36"/>
      <c r="K42" s="36"/>
      <c r="L42" s="36"/>
      <c r="M42" s="32">
        <f t="shared" si="0"/>
        <v>17000</v>
      </c>
      <c r="N42" s="5">
        <f t="shared" si="5"/>
        <v>17000</v>
      </c>
      <c r="O42" s="32">
        <f t="shared" si="1"/>
        <v>12000</v>
      </c>
      <c r="P42" s="8">
        <f t="shared" si="2"/>
        <v>0</v>
      </c>
      <c r="Q42" s="9">
        <f t="shared" si="3"/>
        <v>-5000</v>
      </c>
      <c r="R42" s="8">
        <f t="shared" si="4"/>
        <v>0</v>
      </c>
    </row>
    <row r="43" spans="1:18" ht="15.75" customHeight="1" x14ac:dyDescent="0.3">
      <c r="A43" s="28">
        <v>45753</v>
      </c>
      <c r="B43" s="33"/>
      <c r="C43" s="33"/>
      <c r="D43" s="34"/>
      <c r="E43" s="34"/>
      <c r="F43" s="34"/>
      <c r="G43" s="34"/>
      <c r="H43" s="34"/>
      <c r="I43" s="34"/>
      <c r="J43" s="36"/>
      <c r="K43" s="36"/>
      <c r="L43" s="36"/>
      <c r="M43" s="32">
        <f t="shared" si="0"/>
        <v>17000</v>
      </c>
      <c r="N43" s="5">
        <f t="shared" si="5"/>
        <v>17000</v>
      </c>
      <c r="O43" s="32">
        <f t="shared" si="1"/>
        <v>12000</v>
      </c>
      <c r="P43" s="8">
        <f t="shared" si="2"/>
        <v>0</v>
      </c>
      <c r="Q43" s="9">
        <f t="shared" si="3"/>
        <v>-5000</v>
      </c>
      <c r="R43" s="8">
        <f t="shared" si="4"/>
        <v>0</v>
      </c>
    </row>
    <row r="44" spans="1:18" ht="15.75" customHeight="1" x14ac:dyDescent="0.3">
      <c r="A44" s="28">
        <v>45754</v>
      </c>
      <c r="B44" s="33"/>
      <c r="C44" s="33"/>
      <c r="D44" s="34"/>
      <c r="E44" s="34"/>
      <c r="F44" s="34"/>
      <c r="G44" s="34"/>
      <c r="H44" s="34"/>
      <c r="I44" s="34"/>
      <c r="J44" s="36"/>
      <c r="K44" s="36"/>
      <c r="L44" s="36"/>
      <c r="M44" s="32">
        <f t="shared" si="0"/>
        <v>17000</v>
      </c>
      <c r="N44" s="5">
        <f t="shared" si="5"/>
        <v>17000</v>
      </c>
      <c r="O44" s="32">
        <f t="shared" si="1"/>
        <v>12000</v>
      </c>
      <c r="P44" s="8">
        <f t="shared" si="2"/>
        <v>0</v>
      </c>
      <c r="Q44" s="9">
        <f t="shared" si="3"/>
        <v>-5000</v>
      </c>
      <c r="R44" s="8">
        <f t="shared" si="4"/>
        <v>0</v>
      </c>
    </row>
    <row r="45" spans="1:18" ht="15.75" customHeight="1" x14ac:dyDescent="0.3">
      <c r="A45" s="28">
        <v>45755</v>
      </c>
      <c r="B45" s="33"/>
      <c r="C45" s="33"/>
      <c r="D45" s="34"/>
      <c r="E45" s="34"/>
      <c r="F45" s="34"/>
      <c r="G45" s="34"/>
      <c r="H45" s="34"/>
      <c r="I45" s="34"/>
      <c r="J45" s="36"/>
      <c r="K45" s="36"/>
      <c r="L45" s="36"/>
      <c r="M45" s="32">
        <f t="shared" si="0"/>
        <v>17000</v>
      </c>
      <c r="N45" s="5">
        <f t="shared" si="5"/>
        <v>17000</v>
      </c>
      <c r="O45" s="32">
        <f t="shared" si="1"/>
        <v>12000</v>
      </c>
      <c r="P45" s="8">
        <f t="shared" si="2"/>
        <v>0</v>
      </c>
      <c r="Q45" s="9">
        <f t="shared" si="3"/>
        <v>-5000</v>
      </c>
      <c r="R45" s="8">
        <f t="shared" si="4"/>
        <v>0</v>
      </c>
    </row>
    <row r="46" spans="1:18" ht="15.75" customHeight="1" x14ac:dyDescent="0.3">
      <c r="A46" s="28">
        <v>45756</v>
      </c>
      <c r="B46" s="33"/>
      <c r="C46" s="33"/>
      <c r="D46" s="34"/>
      <c r="E46" s="34"/>
      <c r="F46" s="34"/>
      <c r="G46" s="34"/>
      <c r="H46" s="34"/>
      <c r="I46" s="34"/>
      <c r="J46" s="36"/>
      <c r="K46" s="36"/>
      <c r="L46" s="36"/>
      <c r="M46" s="32">
        <f t="shared" si="0"/>
        <v>17000</v>
      </c>
      <c r="N46" s="5">
        <f t="shared" si="5"/>
        <v>17000</v>
      </c>
      <c r="O46" s="32">
        <f t="shared" si="1"/>
        <v>12000</v>
      </c>
      <c r="P46" s="8">
        <f t="shared" si="2"/>
        <v>0</v>
      </c>
      <c r="Q46" s="9">
        <f t="shared" si="3"/>
        <v>-5000</v>
      </c>
      <c r="R46" s="8">
        <f t="shared" si="4"/>
        <v>0</v>
      </c>
    </row>
    <row r="47" spans="1:18" ht="15.75" customHeight="1" x14ac:dyDescent="0.3">
      <c r="A47" s="28">
        <v>45757</v>
      </c>
      <c r="B47" s="33"/>
      <c r="C47" s="33"/>
      <c r="D47" s="34"/>
      <c r="E47" s="34"/>
      <c r="F47" s="34"/>
      <c r="G47" s="34"/>
      <c r="H47" s="34"/>
      <c r="I47" s="34"/>
      <c r="J47" s="36"/>
      <c r="K47" s="36"/>
      <c r="L47" s="36"/>
      <c r="M47" s="32">
        <f t="shared" si="0"/>
        <v>17000</v>
      </c>
      <c r="N47" s="5">
        <f t="shared" si="5"/>
        <v>17000</v>
      </c>
      <c r="O47" s="32">
        <f t="shared" si="1"/>
        <v>12000</v>
      </c>
      <c r="P47" s="8">
        <f t="shared" si="2"/>
        <v>0</v>
      </c>
      <c r="Q47" s="9">
        <f t="shared" si="3"/>
        <v>-5000</v>
      </c>
      <c r="R47" s="8">
        <f t="shared" si="4"/>
        <v>0</v>
      </c>
    </row>
    <row r="48" spans="1:18" ht="15.75" customHeight="1" x14ac:dyDescent="0.3">
      <c r="A48" s="28">
        <v>45758</v>
      </c>
      <c r="B48" s="33"/>
      <c r="C48" s="33"/>
      <c r="D48" s="34"/>
      <c r="E48" s="34"/>
      <c r="F48" s="34"/>
      <c r="G48" s="34"/>
      <c r="H48" s="34"/>
      <c r="I48" s="34"/>
      <c r="J48" s="36"/>
      <c r="K48" s="36"/>
      <c r="L48" s="36"/>
      <c r="M48" s="32">
        <f t="shared" si="0"/>
        <v>17000</v>
      </c>
      <c r="N48" s="5">
        <f t="shared" si="5"/>
        <v>17000</v>
      </c>
      <c r="O48" s="32">
        <f t="shared" si="1"/>
        <v>12000</v>
      </c>
      <c r="P48" s="8">
        <f t="shared" si="2"/>
        <v>0</v>
      </c>
      <c r="Q48" s="9">
        <f t="shared" si="3"/>
        <v>-5000</v>
      </c>
      <c r="R48" s="8">
        <f t="shared" si="4"/>
        <v>0</v>
      </c>
    </row>
    <row r="49" spans="1:18" ht="15.75" customHeight="1" x14ac:dyDescent="0.3">
      <c r="A49" s="28">
        <v>45759</v>
      </c>
      <c r="B49" s="33"/>
      <c r="C49" s="33"/>
      <c r="D49" s="34"/>
      <c r="E49" s="34"/>
      <c r="F49" s="34"/>
      <c r="G49" s="34"/>
      <c r="H49" s="34"/>
      <c r="I49" s="34"/>
      <c r="J49" s="36"/>
      <c r="K49" s="36"/>
      <c r="L49" s="36"/>
      <c r="M49" s="32">
        <f t="shared" si="0"/>
        <v>17000</v>
      </c>
      <c r="N49" s="5">
        <f t="shared" si="5"/>
        <v>17000</v>
      </c>
      <c r="O49" s="32">
        <f t="shared" si="1"/>
        <v>12000</v>
      </c>
      <c r="P49" s="8">
        <f t="shared" si="2"/>
        <v>0</v>
      </c>
      <c r="Q49" s="9">
        <f t="shared" si="3"/>
        <v>-5000</v>
      </c>
      <c r="R49" s="8">
        <f t="shared" si="4"/>
        <v>0</v>
      </c>
    </row>
    <row r="50" spans="1:18" ht="15.75" customHeight="1" x14ac:dyDescent="0.3">
      <c r="A50" s="28">
        <v>45760</v>
      </c>
      <c r="B50" s="33"/>
      <c r="C50" s="33"/>
      <c r="D50" s="34"/>
      <c r="E50" s="34"/>
      <c r="F50" s="34"/>
      <c r="G50" s="34"/>
      <c r="H50" s="34"/>
      <c r="I50" s="34"/>
      <c r="J50" s="36"/>
      <c r="K50" s="36"/>
      <c r="L50" s="36"/>
      <c r="M50" s="32">
        <f t="shared" si="0"/>
        <v>17000</v>
      </c>
      <c r="N50" s="5">
        <f t="shared" si="5"/>
        <v>17000</v>
      </c>
      <c r="O50" s="32">
        <f t="shared" si="1"/>
        <v>12000</v>
      </c>
      <c r="P50" s="8">
        <f t="shared" si="2"/>
        <v>0</v>
      </c>
      <c r="Q50" s="9">
        <f t="shared" si="3"/>
        <v>-5000</v>
      </c>
      <c r="R50" s="8">
        <f t="shared" si="4"/>
        <v>0</v>
      </c>
    </row>
    <row r="51" spans="1:18" ht="15.75" customHeight="1" x14ac:dyDescent="0.3">
      <c r="A51" s="28">
        <v>45761</v>
      </c>
      <c r="B51" s="33"/>
      <c r="C51" s="33"/>
      <c r="D51" s="34"/>
      <c r="E51" s="34"/>
      <c r="F51" s="34"/>
      <c r="G51" s="34"/>
      <c r="H51" s="34"/>
      <c r="I51" s="34"/>
      <c r="J51" s="36"/>
      <c r="K51" s="36"/>
      <c r="L51" s="36"/>
      <c r="M51" s="32">
        <f t="shared" si="0"/>
        <v>17000</v>
      </c>
      <c r="N51" s="5">
        <f t="shared" si="5"/>
        <v>17000</v>
      </c>
      <c r="O51" s="32">
        <f t="shared" si="1"/>
        <v>12000</v>
      </c>
      <c r="P51" s="8">
        <f t="shared" si="2"/>
        <v>0</v>
      </c>
      <c r="Q51" s="9">
        <f t="shared" si="3"/>
        <v>-5000</v>
      </c>
      <c r="R51" s="8">
        <f t="shared" si="4"/>
        <v>0</v>
      </c>
    </row>
    <row r="52" spans="1:18" ht="15.75" customHeight="1" x14ac:dyDescent="0.3">
      <c r="A52" s="28">
        <v>45762</v>
      </c>
      <c r="B52" s="33"/>
      <c r="C52" s="33"/>
      <c r="D52" s="34"/>
      <c r="E52" s="34"/>
      <c r="F52" s="34"/>
      <c r="G52" s="34"/>
      <c r="H52" s="34"/>
      <c r="I52" s="34"/>
      <c r="J52" s="36"/>
      <c r="K52" s="36"/>
      <c r="L52" s="36"/>
      <c r="M52" s="32">
        <f t="shared" si="0"/>
        <v>17000</v>
      </c>
      <c r="N52" s="5">
        <f t="shared" si="5"/>
        <v>17000</v>
      </c>
      <c r="O52" s="32">
        <f t="shared" si="1"/>
        <v>12000</v>
      </c>
      <c r="P52" s="8">
        <f t="shared" si="2"/>
        <v>0</v>
      </c>
      <c r="Q52" s="9">
        <f t="shared" si="3"/>
        <v>-5000</v>
      </c>
      <c r="R52" s="8">
        <f t="shared" si="4"/>
        <v>0</v>
      </c>
    </row>
    <row r="53" spans="1:18" ht="15.75" customHeight="1" x14ac:dyDescent="0.3">
      <c r="A53" s="28">
        <v>45763</v>
      </c>
      <c r="B53" s="33"/>
      <c r="C53" s="33"/>
      <c r="D53" s="34"/>
      <c r="E53" s="34"/>
      <c r="F53" s="34"/>
      <c r="G53" s="34"/>
      <c r="H53" s="34"/>
      <c r="I53" s="34"/>
      <c r="J53" s="36"/>
      <c r="K53" s="36"/>
      <c r="L53" s="36"/>
      <c r="M53" s="32">
        <f t="shared" si="0"/>
        <v>17000</v>
      </c>
      <c r="N53" s="5">
        <f t="shared" si="5"/>
        <v>17000</v>
      </c>
      <c r="O53" s="32">
        <f t="shared" si="1"/>
        <v>12000</v>
      </c>
      <c r="P53" s="8">
        <f t="shared" si="2"/>
        <v>0</v>
      </c>
      <c r="Q53" s="9">
        <f t="shared" si="3"/>
        <v>-5000</v>
      </c>
      <c r="R53" s="8">
        <f t="shared" si="4"/>
        <v>0</v>
      </c>
    </row>
    <row r="54" spans="1:18" ht="15.75" customHeight="1" x14ac:dyDescent="0.3">
      <c r="A54" s="28">
        <v>45764</v>
      </c>
      <c r="B54" s="33"/>
      <c r="C54" s="33"/>
      <c r="D54" s="34"/>
      <c r="E54" s="34"/>
      <c r="F54" s="34"/>
      <c r="G54" s="34"/>
      <c r="H54" s="34"/>
      <c r="I54" s="34"/>
      <c r="J54" s="36"/>
      <c r="K54" s="36"/>
      <c r="L54" s="36"/>
      <c r="M54" s="32">
        <f t="shared" si="0"/>
        <v>17000</v>
      </c>
      <c r="N54" s="5">
        <f t="shared" si="5"/>
        <v>17000</v>
      </c>
      <c r="O54" s="32">
        <f t="shared" si="1"/>
        <v>12000</v>
      </c>
      <c r="P54" s="8">
        <f t="shared" si="2"/>
        <v>0</v>
      </c>
      <c r="Q54" s="9">
        <f t="shared" si="3"/>
        <v>-5000</v>
      </c>
      <c r="R54" s="8">
        <f t="shared" si="4"/>
        <v>0</v>
      </c>
    </row>
    <row r="55" spans="1:18" ht="15.75" customHeight="1" x14ac:dyDescent="0.3">
      <c r="A55" s="28">
        <v>45765</v>
      </c>
      <c r="B55" s="33"/>
      <c r="C55" s="33"/>
      <c r="D55" s="34"/>
      <c r="E55" s="34"/>
      <c r="F55" s="34"/>
      <c r="G55" s="34"/>
      <c r="H55" s="34"/>
      <c r="I55" s="34"/>
      <c r="J55" s="36"/>
      <c r="K55" s="36"/>
      <c r="L55" s="36"/>
      <c r="M55" s="32">
        <f t="shared" si="0"/>
        <v>17000</v>
      </c>
      <c r="N55" s="5">
        <f t="shared" si="5"/>
        <v>17000</v>
      </c>
      <c r="O55" s="32">
        <f t="shared" si="1"/>
        <v>12000</v>
      </c>
      <c r="P55" s="8">
        <f t="shared" si="2"/>
        <v>0</v>
      </c>
      <c r="Q55" s="9">
        <f t="shared" si="3"/>
        <v>-5000</v>
      </c>
      <c r="R55" s="8">
        <f t="shared" si="4"/>
        <v>0</v>
      </c>
    </row>
    <row r="56" spans="1:18" ht="15.75" customHeight="1" x14ac:dyDescent="0.3">
      <c r="A56" s="28">
        <v>45766</v>
      </c>
      <c r="B56" s="33"/>
      <c r="C56" s="33"/>
      <c r="D56" s="34"/>
      <c r="E56" s="34"/>
      <c r="F56" s="34"/>
      <c r="G56" s="34"/>
      <c r="H56" s="34"/>
      <c r="I56" s="34"/>
      <c r="J56" s="36"/>
      <c r="K56" s="36"/>
      <c r="L56" s="36"/>
      <c r="M56" s="32">
        <f t="shared" si="0"/>
        <v>17000</v>
      </c>
      <c r="N56" s="5">
        <f t="shared" si="5"/>
        <v>17000</v>
      </c>
      <c r="O56" s="32">
        <f t="shared" si="1"/>
        <v>12000</v>
      </c>
      <c r="P56" s="8">
        <f t="shared" si="2"/>
        <v>0</v>
      </c>
      <c r="Q56" s="9">
        <f t="shared" si="3"/>
        <v>-5000</v>
      </c>
      <c r="R56" s="8">
        <f t="shared" si="4"/>
        <v>0</v>
      </c>
    </row>
    <row r="57" spans="1:18" ht="15.75" customHeight="1" x14ac:dyDescent="0.3">
      <c r="A57" s="28">
        <v>45767</v>
      </c>
      <c r="B57" s="33"/>
      <c r="C57" s="33"/>
      <c r="D57" s="34"/>
      <c r="E57" s="34"/>
      <c r="F57" s="34"/>
      <c r="G57" s="34"/>
      <c r="H57" s="34"/>
      <c r="I57" s="34"/>
      <c r="J57" s="36"/>
      <c r="K57" s="36"/>
      <c r="L57" s="36"/>
      <c r="M57" s="32">
        <f t="shared" si="0"/>
        <v>17000</v>
      </c>
      <c r="N57" s="5">
        <f t="shared" si="5"/>
        <v>17000</v>
      </c>
      <c r="O57" s="32">
        <f t="shared" si="1"/>
        <v>12000</v>
      </c>
      <c r="P57" s="8">
        <f t="shared" si="2"/>
        <v>0</v>
      </c>
      <c r="Q57" s="9">
        <f t="shared" si="3"/>
        <v>-5000</v>
      </c>
      <c r="R57" s="8">
        <f t="shared" si="4"/>
        <v>0</v>
      </c>
    </row>
    <row r="58" spans="1:18" ht="15.75" customHeight="1" x14ac:dyDescent="0.3">
      <c r="A58" s="28">
        <v>45768</v>
      </c>
      <c r="B58" s="33"/>
      <c r="C58" s="33"/>
      <c r="D58" s="34"/>
      <c r="E58" s="34"/>
      <c r="F58" s="34"/>
      <c r="G58" s="34"/>
      <c r="H58" s="34"/>
      <c r="I58" s="34"/>
      <c r="J58" s="36"/>
      <c r="K58" s="36"/>
      <c r="L58" s="36"/>
      <c r="M58" s="32">
        <f t="shared" si="0"/>
        <v>17000</v>
      </c>
      <c r="N58" s="5">
        <f t="shared" si="5"/>
        <v>17000</v>
      </c>
      <c r="O58" s="32">
        <f t="shared" si="1"/>
        <v>12000</v>
      </c>
      <c r="P58" s="8">
        <f t="shared" si="2"/>
        <v>0</v>
      </c>
      <c r="Q58" s="9">
        <f t="shared" si="3"/>
        <v>-5000</v>
      </c>
      <c r="R58" s="8">
        <f t="shared" si="4"/>
        <v>0</v>
      </c>
    </row>
    <row r="59" spans="1:18" ht="15.75" customHeight="1" x14ac:dyDescent="0.3">
      <c r="A59" s="28">
        <v>45769</v>
      </c>
      <c r="B59" s="33"/>
      <c r="C59" s="33"/>
      <c r="D59" s="34"/>
      <c r="E59" s="34"/>
      <c r="F59" s="34"/>
      <c r="G59" s="34"/>
      <c r="H59" s="34"/>
      <c r="I59" s="34"/>
      <c r="J59" s="36"/>
      <c r="K59" s="36"/>
      <c r="L59" s="36"/>
      <c r="M59" s="32">
        <f t="shared" si="0"/>
        <v>17000</v>
      </c>
      <c r="N59" s="5">
        <f t="shared" si="5"/>
        <v>17000</v>
      </c>
      <c r="O59" s="32">
        <f t="shared" si="1"/>
        <v>12000</v>
      </c>
      <c r="P59" s="8">
        <f t="shared" si="2"/>
        <v>0</v>
      </c>
      <c r="Q59" s="9">
        <f t="shared" si="3"/>
        <v>-5000</v>
      </c>
      <c r="R59" s="8">
        <f t="shared" si="4"/>
        <v>0</v>
      </c>
    </row>
    <row r="60" spans="1:18" ht="15.75" customHeight="1" x14ac:dyDescent="0.3">
      <c r="A60" s="28">
        <v>45770</v>
      </c>
      <c r="B60" s="33"/>
      <c r="C60" s="33"/>
      <c r="D60" s="34"/>
      <c r="E60" s="34"/>
      <c r="F60" s="34"/>
      <c r="G60" s="34"/>
      <c r="H60" s="34"/>
      <c r="I60" s="34"/>
      <c r="J60" s="36"/>
      <c r="K60" s="36"/>
      <c r="L60" s="36"/>
      <c r="M60" s="32">
        <f t="shared" si="0"/>
        <v>17000</v>
      </c>
      <c r="N60" s="5">
        <f t="shared" si="5"/>
        <v>17000</v>
      </c>
      <c r="O60" s="32">
        <f t="shared" si="1"/>
        <v>12000</v>
      </c>
      <c r="P60" s="8">
        <f t="shared" si="2"/>
        <v>0</v>
      </c>
      <c r="Q60" s="9">
        <f t="shared" si="3"/>
        <v>-5000</v>
      </c>
      <c r="R60" s="8">
        <f t="shared" si="4"/>
        <v>0</v>
      </c>
    </row>
    <row r="61" spans="1:18" ht="15.75" customHeight="1" x14ac:dyDescent="0.3">
      <c r="A61" s="28">
        <v>45771</v>
      </c>
      <c r="B61" s="33"/>
      <c r="C61" s="33"/>
      <c r="D61" s="34"/>
      <c r="E61" s="34"/>
      <c r="F61" s="34"/>
      <c r="G61" s="34"/>
      <c r="H61" s="34"/>
      <c r="I61" s="34"/>
      <c r="J61" s="36"/>
      <c r="K61" s="36"/>
      <c r="L61" s="36"/>
      <c r="M61" s="32">
        <f t="shared" si="0"/>
        <v>17000</v>
      </c>
      <c r="N61" s="5">
        <f t="shared" si="5"/>
        <v>17000</v>
      </c>
      <c r="O61" s="32">
        <f t="shared" si="1"/>
        <v>12000</v>
      </c>
      <c r="P61" s="8">
        <f t="shared" si="2"/>
        <v>0</v>
      </c>
      <c r="Q61" s="9">
        <f t="shared" si="3"/>
        <v>-5000</v>
      </c>
      <c r="R61" s="8">
        <f t="shared" si="4"/>
        <v>0</v>
      </c>
    </row>
    <row r="62" spans="1:18" ht="15.75" customHeight="1" x14ac:dyDescent="0.3">
      <c r="A62" s="28">
        <v>45772</v>
      </c>
      <c r="B62" s="33"/>
      <c r="C62" s="33"/>
      <c r="D62" s="34"/>
      <c r="E62" s="34"/>
      <c r="F62" s="34"/>
      <c r="G62" s="34"/>
      <c r="H62" s="34"/>
      <c r="I62" s="34"/>
      <c r="J62" s="36"/>
      <c r="K62" s="36"/>
      <c r="L62" s="36"/>
      <c r="M62" s="32">
        <f t="shared" si="0"/>
        <v>17000</v>
      </c>
      <c r="N62" s="5">
        <f t="shared" si="5"/>
        <v>17000</v>
      </c>
      <c r="O62" s="32">
        <f t="shared" si="1"/>
        <v>12000</v>
      </c>
      <c r="P62" s="8">
        <f t="shared" si="2"/>
        <v>0</v>
      </c>
      <c r="Q62" s="9">
        <f t="shared" si="3"/>
        <v>-5000</v>
      </c>
      <c r="R62" s="8">
        <f t="shared" si="4"/>
        <v>0</v>
      </c>
    </row>
    <row r="63" spans="1:18" ht="15.75" customHeight="1" x14ac:dyDescent="0.3">
      <c r="A63" s="28">
        <v>45773</v>
      </c>
      <c r="B63" s="33"/>
      <c r="C63" s="33"/>
      <c r="D63" s="34"/>
      <c r="E63" s="34"/>
      <c r="F63" s="34"/>
      <c r="G63" s="34"/>
      <c r="H63" s="34"/>
      <c r="I63" s="34"/>
      <c r="J63" s="36"/>
      <c r="K63" s="36"/>
      <c r="L63" s="36"/>
      <c r="M63" s="32">
        <f t="shared" si="0"/>
        <v>17000</v>
      </c>
      <c r="N63" s="5">
        <f t="shared" si="5"/>
        <v>17000</v>
      </c>
      <c r="O63" s="32">
        <f t="shared" si="1"/>
        <v>12000</v>
      </c>
      <c r="P63" s="8">
        <f t="shared" si="2"/>
        <v>0</v>
      </c>
      <c r="Q63" s="9">
        <f t="shared" si="3"/>
        <v>-5000</v>
      </c>
      <c r="R63" s="8">
        <f t="shared" si="4"/>
        <v>0</v>
      </c>
    </row>
    <row r="64" spans="1:18" ht="15.75" customHeight="1" x14ac:dyDescent="0.3">
      <c r="A64" s="28">
        <v>45774</v>
      </c>
      <c r="B64" s="33"/>
      <c r="C64" s="33"/>
      <c r="D64" s="34"/>
      <c r="E64" s="34"/>
      <c r="F64" s="34"/>
      <c r="G64" s="34"/>
      <c r="H64" s="34"/>
      <c r="I64" s="34"/>
      <c r="J64" s="36"/>
      <c r="K64" s="36"/>
      <c r="L64" s="36"/>
      <c r="M64" s="32">
        <f t="shared" si="0"/>
        <v>17000</v>
      </c>
      <c r="N64" s="5">
        <f t="shared" si="5"/>
        <v>17000</v>
      </c>
      <c r="O64" s="32">
        <f t="shared" si="1"/>
        <v>12000</v>
      </c>
      <c r="P64" s="8">
        <f t="shared" si="2"/>
        <v>0</v>
      </c>
      <c r="Q64" s="9">
        <f t="shared" si="3"/>
        <v>-5000</v>
      </c>
      <c r="R64" s="8">
        <f t="shared" si="4"/>
        <v>0</v>
      </c>
    </row>
    <row r="65" spans="1:18" ht="15.75" customHeight="1" x14ac:dyDescent="0.3">
      <c r="A65" s="28">
        <v>45775</v>
      </c>
      <c r="B65" s="33"/>
      <c r="C65" s="33"/>
      <c r="D65" s="34"/>
      <c r="E65" s="34"/>
      <c r="F65" s="34"/>
      <c r="G65" s="34"/>
      <c r="H65" s="34"/>
      <c r="I65" s="34"/>
      <c r="J65" s="36"/>
      <c r="K65" s="36"/>
      <c r="L65" s="36"/>
      <c r="M65" s="32">
        <f t="shared" si="0"/>
        <v>17000</v>
      </c>
      <c r="N65" s="5">
        <f t="shared" si="5"/>
        <v>17000</v>
      </c>
      <c r="O65" s="32">
        <f t="shared" si="1"/>
        <v>12000</v>
      </c>
      <c r="P65" s="8">
        <f t="shared" si="2"/>
        <v>0</v>
      </c>
      <c r="Q65" s="9">
        <f t="shared" si="3"/>
        <v>-5000</v>
      </c>
      <c r="R65" s="8">
        <f t="shared" si="4"/>
        <v>0</v>
      </c>
    </row>
    <row r="66" spans="1:18" ht="15.75" customHeight="1" x14ac:dyDescent="0.3">
      <c r="A66" s="28">
        <v>45776</v>
      </c>
      <c r="B66" s="33"/>
      <c r="C66" s="33"/>
      <c r="D66" s="34"/>
      <c r="E66" s="34"/>
      <c r="F66" s="34"/>
      <c r="G66" s="34"/>
      <c r="H66" s="34"/>
      <c r="I66" s="34"/>
      <c r="J66" s="36"/>
      <c r="K66" s="36"/>
      <c r="L66" s="36"/>
      <c r="M66" s="32">
        <f t="shared" si="0"/>
        <v>17000</v>
      </c>
      <c r="N66" s="5">
        <f t="shared" si="5"/>
        <v>17000</v>
      </c>
      <c r="O66" s="32">
        <f t="shared" si="1"/>
        <v>12000</v>
      </c>
      <c r="P66" s="8">
        <f t="shared" si="2"/>
        <v>0</v>
      </c>
      <c r="Q66" s="9">
        <f t="shared" si="3"/>
        <v>-5000</v>
      </c>
      <c r="R66" s="8">
        <f t="shared" si="4"/>
        <v>0</v>
      </c>
    </row>
    <row r="67" spans="1:18" ht="15.75" customHeight="1" x14ac:dyDescent="0.3">
      <c r="A67" s="28">
        <v>45777</v>
      </c>
      <c r="B67" s="33"/>
      <c r="C67" s="33"/>
      <c r="D67" s="34"/>
      <c r="E67" s="34"/>
      <c r="F67" s="34"/>
      <c r="G67" s="34"/>
      <c r="H67" s="34"/>
      <c r="I67" s="34"/>
      <c r="J67" s="36"/>
      <c r="K67" s="36"/>
      <c r="L67" s="36"/>
      <c r="M67" s="32">
        <f t="shared" si="0"/>
        <v>17000</v>
      </c>
      <c r="N67" s="5">
        <f t="shared" si="5"/>
        <v>17000</v>
      </c>
      <c r="O67" s="32">
        <f t="shared" si="1"/>
        <v>12000</v>
      </c>
      <c r="P67" s="8">
        <f t="shared" si="2"/>
        <v>0</v>
      </c>
      <c r="Q67" s="9">
        <f t="shared" si="3"/>
        <v>-5000</v>
      </c>
      <c r="R67" s="8">
        <f t="shared" si="4"/>
        <v>0</v>
      </c>
    </row>
    <row r="68" spans="1:18" ht="15.75" customHeight="1" x14ac:dyDescent="0.3">
      <c r="A68" s="28">
        <v>45778</v>
      </c>
      <c r="B68" s="33"/>
      <c r="C68" s="33"/>
      <c r="D68" s="34"/>
      <c r="E68" s="34"/>
      <c r="F68" s="34"/>
      <c r="G68" s="34"/>
      <c r="H68" s="34"/>
      <c r="I68" s="34"/>
      <c r="J68" s="36"/>
      <c r="K68" s="36"/>
      <c r="L68" s="36"/>
      <c r="M68" s="32">
        <f t="shared" si="0"/>
        <v>17000</v>
      </c>
      <c r="N68" s="5">
        <f t="shared" si="5"/>
        <v>17000</v>
      </c>
      <c r="O68" s="32">
        <f t="shared" si="1"/>
        <v>12000</v>
      </c>
      <c r="P68" s="8">
        <f t="shared" si="2"/>
        <v>0</v>
      </c>
      <c r="Q68" s="9">
        <f t="shared" si="3"/>
        <v>-5000</v>
      </c>
      <c r="R68" s="8">
        <f t="shared" si="4"/>
        <v>0</v>
      </c>
    </row>
    <row r="69" spans="1:18" ht="15.75" customHeight="1" x14ac:dyDescent="0.3">
      <c r="A69" s="28">
        <v>45779</v>
      </c>
      <c r="B69" s="33"/>
      <c r="C69" s="33"/>
      <c r="D69" s="34"/>
      <c r="E69" s="34"/>
      <c r="F69" s="34"/>
      <c r="G69" s="34"/>
      <c r="H69" s="34"/>
      <c r="I69" s="34"/>
      <c r="J69" s="36"/>
      <c r="K69" s="36"/>
      <c r="L69" s="36"/>
      <c r="M69" s="32">
        <f t="shared" ref="M69:M75" si="6">MIN(N69:N10554)</f>
        <v>17000</v>
      </c>
      <c r="N69" s="5">
        <f t="shared" si="5"/>
        <v>17000</v>
      </c>
      <c r="O69" s="32">
        <f t="shared" ref="O69:O75" si="7">O68+J69</f>
        <v>12000</v>
      </c>
      <c r="P69" s="8">
        <f t="shared" ref="P69:P75" si="8">P68+K69</f>
        <v>0</v>
      </c>
      <c r="Q69" s="9">
        <f t="shared" ref="Q69:Q75" si="9">Q68+L69</f>
        <v>-5000</v>
      </c>
      <c r="R69" s="8">
        <f t="shared" ref="R69:R75" si="10">MIN(S69:S10554)</f>
        <v>0</v>
      </c>
    </row>
    <row r="70" spans="1:18" ht="15.75" customHeight="1" x14ac:dyDescent="0.3">
      <c r="A70" s="28">
        <v>45780</v>
      </c>
      <c r="B70" s="33"/>
      <c r="C70" s="33"/>
      <c r="D70" s="34"/>
      <c r="E70" s="34"/>
      <c r="F70" s="34"/>
      <c r="G70" s="34"/>
      <c r="H70" s="34"/>
      <c r="I70" s="34"/>
      <c r="J70" s="36"/>
      <c r="K70" s="36"/>
      <c r="L70" s="36"/>
      <c r="M70" s="32">
        <f t="shared" si="6"/>
        <v>17000</v>
      </c>
      <c r="N70" s="5">
        <f t="shared" ref="N70:N75" si="11">N69+SUM(B70:C70)-SUMIF(D70:I70,"&gt;0")</f>
        <v>17000</v>
      </c>
      <c r="O70" s="32">
        <f t="shared" si="7"/>
        <v>12000</v>
      </c>
      <c r="P70" s="8">
        <f t="shared" si="8"/>
        <v>0</v>
      </c>
      <c r="Q70" s="9">
        <f t="shared" si="9"/>
        <v>-5000</v>
      </c>
      <c r="R70" s="8">
        <f t="shared" si="10"/>
        <v>0</v>
      </c>
    </row>
    <row r="71" spans="1:18" ht="15.75" customHeight="1" x14ac:dyDescent="0.3">
      <c r="A71" s="28">
        <v>45781</v>
      </c>
      <c r="B71" s="33"/>
      <c r="C71" s="33"/>
      <c r="D71" s="34"/>
      <c r="E71" s="34"/>
      <c r="F71" s="34"/>
      <c r="G71" s="34"/>
      <c r="H71" s="34"/>
      <c r="I71" s="34"/>
      <c r="J71" s="36"/>
      <c r="K71" s="36"/>
      <c r="L71" s="36"/>
      <c r="M71" s="32">
        <f t="shared" si="6"/>
        <v>17000</v>
      </c>
      <c r="N71" s="5">
        <f t="shared" si="11"/>
        <v>17000</v>
      </c>
      <c r="O71" s="32">
        <f t="shared" si="7"/>
        <v>12000</v>
      </c>
      <c r="P71" s="8">
        <f t="shared" si="8"/>
        <v>0</v>
      </c>
      <c r="Q71" s="9">
        <f t="shared" si="9"/>
        <v>-5000</v>
      </c>
      <c r="R71" s="8">
        <f t="shared" si="10"/>
        <v>0</v>
      </c>
    </row>
    <row r="72" spans="1:18" ht="15.75" customHeight="1" x14ac:dyDescent="0.3">
      <c r="A72" s="28">
        <v>45782</v>
      </c>
      <c r="B72" s="33"/>
      <c r="C72" s="33"/>
      <c r="D72" s="34"/>
      <c r="E72" s="34"/>
      <c r="F72" s="34"/>
      <c r="G72" s="34"/>
      <c r="H72" s="34"/>
      <c r="I72" s="34"/>
      <c r="J72" s="36"/>
      <c r="K72" s="36"/>
      <c r="L72" s="36"/>
      <c r="M72" s="32">
        <f t="shared" si="6"/>
        <v>17000</v>
      </c>
      <c r="N72" s="5">
        <f t="shared" si="11"/>
        <v>17000</v>
      </c>
      <c r="O72" s="32">
        <f t="shared" si="7"/>
        <v>12000</v>
      </c>
      <c r="P72" s="8">
        <f t="shared" si="8"/>
        <v>0</v>
      </c>
      <c r="Q72" s="9">
        <f t="shared" si="9"/>
        <v>-5000</v>
      </c>
      <c r="R72" s="8">
        <f t="shared" si="10"/>
        <v>0</v>
      </c>
    </row>
    <row r="73" spans="1:18" ht="15.75" customHeight="1" x14ac:dyDescent="0.3">
      <c r="A73" s="28">
        <v>45783</v>
      </c>
      <c r="B73" s="33"/>
      <c r="C73" s="33"/>
      <c r="D73" s="34"/>
      <c r="E73" s="34"/>
      <c r="F73" s="34"/>
      <c r="G73" s="34"/>
      <c r="H73" s="34"/>
      <c r="I73" s="34"/>
      <c r="J73" s="36"/>
      <c r="K73" s="36"/>
      <c r="L73" s="36"/>
      <c r="M73" s="32">
        <f t="shared" si="6"/>
        <v>17000</v>
      </c>
      <c r="N73" s="5">
        <f t="shared" si="11"/>
        <v>17000</v>
      </c>
      <c r="O73" s="32">
        <f t="shared" si="7"/>
        <v>12000</v>
      </c>
      <c r="P73" s="8">
        <f t="shared" si="8"/>
        <v>0</v>
      </c>
      <c r="Q73" s="9">
        <f t="shared" si="9"/>
        <v>-5000</v>
      </c>
      <c r="R73" s="8">
        <f t="shared" si="10"/>
        <v>0</v>
      </c>
    </row>
    <row r="74" spans="1:18" ht="15.75" customHeight="1" x14ac:dyDescent="0.3">
      <c r="A74" s="28">
        <v>45784</v>
      </c>
      <c r="B74" s="33"/>
      <c r="C74" s="33"/>
      <c r="D74" s="34"/>
      <c r="E74" s="34"/>
      <c r="F74" s="34"/>
      <c r="G74" s="34"/>
      <c r="H74" s="34"/>
      <c r="I74" s="34"/>
      <c r="J74" s="36"/>
      <c r="K74" s="36"/>
      <c r="L74" s="36"/>
      <c r="M74" s="32">
        <f t="shared" si="6"/>
        <v>17000</v>
      </c>
      <c r="N74" s="5">
        <f t="shared" si="11"/>
        <v>17000</v>
      </c>
      <c r="O74" s="32">
        <f t="shared" si="7"/>
        <v>12000</v>
      </c>
      <c r="P74" s="8">
        <f t="shared" si="8"/>
        <v>0</v>
      </c>
      <c r="Q74" s="9">
        <f t="shared" si="9"/>
        <v>-5000</v>
      </c>
      <c r="R74" s="8">
        <f t="shared" si="10"/>
        <v>0</v>
      </c>
    </row>
    <row r="75" spans="1:18" ht="15.75" customHeight="1" x14ac:dyDescent="0.3">
      <c r="A75" s="28">
        <v>45785</v>
      </c>
      <c r="B75" s="33"/>
      <c r="C75" s="33"/>
      <c r="D75" s="34"/>
      <c r="E75" s="34"/>
      <c r="F75" s="34"/>
      <c r="G75" s="34"/>
      <c r="H75" s="34"/>
      <c r="I75" s="34"/>
      <c r="J75" s="36"/>
      <c r="K75" s="36"/>
      <c r="L75" s="36"/>
      <c r="M75" s="32">
        <f t="shared" si="6"/>
        <v>17000</v>
      </c>
      <c r="N75" s="5">
        <f t="shared" si="11"/>
        <v>17000</v>
      </c>
      <c r="O75" s="32">
        <f t="shared" si="7"/>
        <v>12000</v>
      </c>
      <c r="P75" s="8">
        <f t="shared" si="8"/>
        <v>0</v>
      </c>
      <c r="Q75" s="9">
        <f t="shared" si="9"/>
        <v>-5000</v>
      </c>
      <c r="R75" s="8">
        <f t="shared" si="10"/>
        <v>0</v>
      </c>
    </row>
  </sheetData>
  <mergeCells count="7">
    <mergeCell ref="B3:L3"/>
    <mergeCell ref="A1:A2"/>
    <mergeCell ref="B1:C1"/>
    <mergeCell ref="D1:I1"/>
    <mergeCell ref="J1:L1"/>
    <mergeCell ref="M1:N1"/>
    <mergeCell ref="O1:R1"/>
  </mergeCells>
  <conditionalFormatting sqref="A3:A75">
    <cfRule type="timePeriod" dxfId="6" priority="7" stopIfTrue="1" timePeriod="today">
      <formula>FLOOR(A3,1)=TODAY()</formula>
    </cfRule>
  </conditionalFormatting>
  <conditionalFormatting sqref="R3 N2:Q75">
    <cfRule type="cellIs" dxfId="5" priority="8" operator="lessThan">
      <formula>0</formula>
    </cfRule>
  </conditionalFormatting>
  <conditionalFormatting sqref="R2">
    <cfRule type="cellIs" dxfId="4" priority="5" operator="lessThan">
      <formula>0</formula>
    </cfRule>
  </conditionalFormatting>
  <conditionalFormatting sqref="M4:M75">
    <cfRule type="cellIs" dxfId="2" priority="3" operator="lessThan">
      <formula>0</formula>
    </cfRule>
  </conditionalFormatting>
  <conditionalFormatting sqref="R4:R75">
    <cfRule type="cellIs" dxfId="0" priority="1" operator="lessThan">
      <formula>0</formula>
    </cfRule>
  </conditionalFormatting>
  <pageMargins left="0.7" right="0.7" top="0.75" bottom="0.75" header="0" footer="0"/>
  <pageSetup paperSize="9"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Vladimir</cp:lastModifiedBy>
  <cp:revision>6</cp:revision>
  <dcterms:created xsi:type="dcterms:W3CDTF">2025-04-21T15:50:27Z</dcterms:created>
  <dcterms:modified xsi:type="dcterms:W3CDTF">2025-11-06T21:49:23Z</dcterms:modified>
</cp:coreProperties>
</file>